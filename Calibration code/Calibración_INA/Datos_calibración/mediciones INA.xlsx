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suaz\OneDrive\Desktop\"/>
    </mc:Choice>
  </mc:AlternateContent>
  <xr:revisionPtr revIDLastSave="0" documentId="13_ncr:1_{8841A769-7112-4024-B35E-FB541EAA8735}" xr6:coauthVersionLast="47" xr6:coauthVersionMax="47" xr10:uidLastSave="{00000000-0000-0000-0000-000000000000}"/>
  <bookViews>
    <workbookView xWindow="-108" yWindow="-108" windowWidth="23256" windowHeight="12456" activeTab="1" xr2:uid="{A0795445-B434-466E-B42B-5E8B50B1803E}"/>
  </bookViews>
  <sheets>
    <sheet name="Hoja1" sheetId="1" r:id="rId1"/>
    <sheet name="INA calibracion 1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V53" i="4" l="1"/>
  <c r="V54" i="4"/>
  <c r="V52" i="4"/>
  <c r="U53" i="4"/>
  <c r="U54" i="4"/>
  <c r="U52" i="4"/>
  <c r="T53" i="4"/>
  <c r="T54" i="4"/>
  <c r="T52" i="4"/>
  <c r="M53" i="4"/>
  <c r="M54" i="4"/>
  <c r="M52" i="4"/>
  <c r="L53" i="4"/>
  <c r="L54" i="4"/>
  <c r="L52" i="4"/>
  <c r="K53" i="4"/>
  <c r="K54" i="4"/>
  <c r="K52" i="4"/>
  <c r="D53" i="4"/>
  <c r="D54" i="4"/>
  <c r="D52" i="4"/>
  <c r="C53" i="4"/>
  <c r="C54" i="4"/>
  <c r="C52" i="4"/>
  <c r="B53" i="4"/>
  <c r="B54" i="4"/>
  <c r="B52" i="4"/>
  <c r="B41" i="4"/>
  <c r="Y28" i="4"/>
  <c r="Y27" i="4"/>
  <c r="Y26" i="4"/>
  <c r="P28" i="4"/>
  <c r="P27" i="4"/>
  <c r="P26" i="4"/>
  <c r="G28" i="4"/>
  <c r="G27" i="4"/>
  <c r="G26" i="4"/>
  <c r="U28" i="4"/>
  <c r="V28" i="4"/>
  <c r="W28" i="4"/>
  <c r="X28" i="4"/>
  <c r="U27" i="4"/>
  <c r="V27" i="4"/>
  <c r="W27" i="4"/>
  <c r="X27" i="4"/>
  <c r="U26" i="4"/>
  <c r="V26" i="4"/>
  <c r="W26" i="4"/>
  <c r="X26" i="4"/>
  <c r="T27" i="4"/>
  <c r="T28" i="4"/>
  <c r="T26" i="4"/>
  <c r="Y22" i="4"/>
  <c r="Y23" i="4"/>
  <c r="Y21" i="4"/>
  <c r="Y16" i="4"/>
  <c r="Y17" i="4"/>
  <c r="Y15" i="4"/>
  <c r="Y10" i="4"/>
  <c r="Y11" i="4"/>
  <c r="Y9" i="4"/>
  <c r="L28" i="4"/>
  <c r="M28" i="4"/>
  <c r="N28" i="4"/>
  <c r="O28" i="4"/>
  <c r="N27" i="4"/>
  <c r="M27" i="4"/>
  <c r="L27" i="4"/>
  <c r="O27" i="4"/>
  <c r="L26" i="4"/>
  <c r="M26" i="4"/>
  <c r="N26" i="4"/>
  <c r="O26" i="4"/>
  <c r="K27" i="4"/>
  <c r="K28" i="4"/>
  <c r="K26" i="4"/>
  <c r="P22" i="4"/>
  <c r="P23" i="4"/>
  <c r="P21" i="4"/>
  <c r="P16" i="4"/>
  <c r="P17" i="4"/>
  <c r="P15" i="4"/>
  <c r="P11" i="4"/>
  <c r="P10" i="4"/>
  <c r="P9" i="4"/>
  <c r="F27" i="4"/>
  <c r="F28" i="4"/>
  <c r="F26" i="4"/>
  <c r="E27" i="4"/>
  <c r="E28" i="4"/>
  <c r="E26" i="4"/>
  <c r="D27" i="4"/>
  <c r="D28" i="4"/>
  <c r="D26" i="4"/>
  <c r="C27" i="4"/>
  <c r="C28" i="4"/>
  <c r="C26" i="4"/>
  <c r="B27" i="4"/>
  <c r="B28" i="4"/>
  <c r="B26" i="4"/>
  <c r="G22" i="4"/>
  <c r="G23" i="4"/>
  <c r="G21" i="4"/>
  <c r="G17" i="4"/>
  <c r="G16" i="4"/>
  <c r="G15" i="4"/>
  <c r="G11" i="4"/>
  <c r="G10" i="4"/>
  <c r="G9" i="4"/>
  <c r="O18" i="1"/>
  <c r="O19" i="1"/>
  <c r="O15" i="1"/>
  <c r="O16" i="1"/>
  <c r="O17" i="1"/>
  <c r="O14" i="1"/>
  <c r="O13" i="1"/>
  <c r="J14" i="1"/>
  <c r="J15" i="1"/>
  <c r="J16" i="1"/>
  <c r="J17" i="1"/>
  <c r="J18" i="1"/>
  <c r="J19" i="1"/>
  <c r="J13" i="1"/>
  <c r="I19" i="1"/>
  <c r="I14" i="1"/>
  <c r="I15" i="1"/>
  <c r="I16" i="1"/>
  <c r="I17" i="1"/>
  <c r="I18" i="1"/>
  <c r="I13" i="1"/>
  <c r="H14" i="1"/>
  <c r="H15" i="1"/>
  <c r="H16" i="1"/>
  <c r="H17" i="1"/>
  <c r="H18" i="1"/>
  <c r="H19" i="1"/>
  <c r="H13" i="1"/>
  <c r="E39" i="1"/>
  <c r="E34" i="1"/>
  <c r="E35" i="1"/>
  <c r="E36" i="1"/>
  <c r="E37" i="1"/>
  <c r="E38" i="1"/>
  <c r="E14" i="1"/>
  <c r="E15" i="1"/>
  <c r="E16" i="1"/>
  <c r="E17" i="1"/>
  <c r="E18" i="1"/>
  <c r="E19" i="1"/>
  <c r="E33" i="1"/>
  <c r="E3" i="1"/>
  <c r="E23" i="1" s="1"/>
  <c r="E13" i="1"/>
  <c r="E4" i="1"/>
  <c r="E24" i="1" s="1"/>
  <c r="E5" i="1"/>
  <c r="E25" i="1" s="1"/>
  <c r="E6" i="1"/>
  <c r="E26" i="1" s="1"/>
  <c r="E7" i="1"/>
  <c r="E27" i="1" s="1"/>
  <c r="E8" i="1"/>
  <c r="E28" i="1" s="1"/>
  <c r="E9" i="1"/>
  <c r="E29" i="1" s="1"/>
</calcChain>
</file>

<file path=xl/sharedStrings.xml><?xml version="1.0" encoding="utf-8"?>
<sst xmlns="http://schemas.openxmlformats.org/spreadsheetml/2006/main" count="138" uniqueCount="46">
  <si>
    <t xml:space="preserve">Mediciones Multimetro </t>
  </si>
  <si>
    <t>Mediciones INA</t>
  </si>
  <si>
    <t>x</t>
  </si>
  <si>
    <t>y</t>
  </si>
  <si>
    <t>Voltaje Bus (V)</t>
  </si>
  <si>
    <t>Corriente (mA)</t>
  </si>
  <si>
    <t>Potencia (mW)</t>
  </si>
  <si>
    <t xml:space="preserve">V Resistencia (mV) </t>
  </si>
  <si>
    <t>V Shunt (mV)</t>
  </si>
  <si>
    <t>V Fuente</t>
  </si>
  <si>
    <t xml:space="preserve">Medicion 1 </t>
  </si>
  <si>
    <t>Medicion 2</t>
  </si>
  <si>
    <t>Medicion 3</t>
  </si>
  <si>
    <t>Voltaje bus</t>
  </si>
  <si>
    <t>pendiente</t>
  </si>
  <si>
    <t>intercepto</t>
  </si>
  <si>
    <t>Tension Patrón</t>
  </si>
  <si>
    <t>Tensión Calibrando</t>
  </si>
  <si>
    <t>Diferencia</t>
  </si>
  <si>
    <t>Suma Patrón</t>
  </si>
  <si>
    <t>Medicion 4</t>
  </si>
  <si>
    <t>Medicion 5</t>
  </si>
  <si>
    <t>Voltaje Bus</t>
  </si>
  <si>
    <t>Corriente mA</t>
  </si>
  <si>
    <t xml:space="preserve">V resistencia (mV) </t>
  </si>
  <si>
    <t>Potencia Bus (mW)</t>
  </si>
  <si>
    <t>INA 1</t>
  </si>
  <si>
    <t>INA 2</t>
  </si>
  <si>
    <t>Potenca bus(mW)</t>
  </si>
  <si>
    <t>INA 3</t>
  </si>
  <si>
    <t>V resistencia mV</t>
  </si>
  <si>
    <t xml:space="preserve">temperatura </t>
  </si>
  <si>
    <t>Potencia bus(mW)</t>
  </si>
  <si>
    <t>mo tension</t>
  </si>
  <si>
    <t>bo tension</t>
  </si>
  <si>
    <t>mo corriente</t>
  </si>
  <si>
    <t>bo corriente</t>
  </si>
  <si>
    <t>mo shunt</t>
  </si>
  <si>
    <t>bo shunt</t>
  </si>
  <si>
    <t>V Bus</t>
  </si>
  <si>
    <t>V shunt (mV)</t>
  </si>
  <si>
    <t>Corriente(mA)</t>
  </si>
  <si>
    <t>Potencia(mW)</t>
  </si>
  <si>
    <t>INA 1 original</t>
  </si>
  <si>
    <t>INA 2 original</t>
  </si>
  <si>
    <t>INA 3 original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</si>
</sst>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2" xfId="0" applyBorder="1"/>
    <xf numFmtId="164" fontId="0" fillId="0" borderId="2" xfId="0" applyNumberFormat="1" applyBorder="1"/>
    <xf numFmtId="164" fontId="0" fillId="0" borderId="1" xfId="0" applyNumberFormat="1" applyBorder="1"/>
    <xf numFmtId="2" fontId="0" fillId="0" borderId="1" xfId="0" applyNumberForma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Voltaje Bus (V)</a:t>
            </a:r>
          </a:p>
        </c:rich>
      </c:tx>
      <c:layout>
        <c:manualLayout>
          <c:xMode val="edge"/>
          <c:yMode val="edge"/>
          <c:x val="0.39165266841644791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>
        <c:manualLayout>
          <c:layoutTarget val="inner"/>
          <c:xMode val="edge"/>
          <c:yMode val="edge"/>
          <c:x val="0.11536509954532945"/>
          <c:y val="0.1649070579745775"/>
          <c:w val="0.85054031380616446"/>
          <c:h val="0.62799601209324452"/>
        </c:manualLayout>
      </c:layout>
      <c:scatterChart>
        <c:scatterStyle val="lineMarker"/>
        <c:varyColors val="0"/>
        <c:ser>
          <c:idx val="0"/>
          <c:order val="0"/>
          <c:tx>
            <c:strRef>
              <c:f>Hoja1!$H$2</c:f>
              <c:strCache>
                <c:ptCount val="1"/>
                <c:pt idx="0">
                  <c:v>Voltaje bus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8981601730892229E-2"/>
                  <c:y val="0.154616656886388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R"/>
                </a:p>
              </c:txPr>
            </c:trendlineLbl>
          </c:trendline>
          <c:xVal>
            <c:numRef>
              <c:f>Hoja1!$H$3:$H$9</c:f>
              <c:numCache>
                <c:formatCode>0.000</c:formatCode>
                <c:ptCount val="7"/>
                <c:pt idx="0" formatCode="General">
                  <c:v>3.4689999999999999</c:v>
                </c:pt>
                <c:pt idx="1">
                  <c:v>3.81</c:v>
                </c:pt>
                <c:pt idx="2" formatCode="General">
                  <c:v>4.1070000000000002</c:v>
                </c:pt>
                <c:pt idx="3">
                  <c:v>4.47</c:v>
                </c:pt>
                <c:pt idx="4" formatCode="General">
                  <c:v>4.7350000000000003</c:v>
                </c:pt>
                <c:pt idx="5" formatCode="General">
                  <c:v>4.6829999999999998</c:v>
                </c:pt>
                <c:pt idx="6" formatCode="General">
                  <c:v>4.9610000000000003</c:v>
                </c:pt>
              </c:numCache>
            </c:numRef>
          </c:xVal>
          <c:yVal>
            <c:numRef>
              <c:f>Hoja1!$E$3:$E$9</c:f>
              <c:numCache>
                <c:formatCode>0.000</c:formatCode>
                <c:ptCount val="7"/>
                <c:pt idx="0">
                  <c:v>3.4649999999999999</c:v>
                </c:pt>
                <c:pt idx="1">
                  <c:v>3.76</c:v>
                </c:pt>
                <c:pt idx="2">
                  <c:v>4.0549999999999997</c:v>
                </c:pt>
                <c:pt idx="3">
                  <c:v>4.4119999999999999</c:v>
                </c:pt>
                <c:pt idx="4">
                  <c:v>4.7069999999999999</c:v>
                </c:pt>
                <c:pt idx="5">
                  <c:v>4.7430000000000003</c:v>
                </c:pt>
                <c:pt idx="6">
                  <c:v>4.9400000000000004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E0-4FB2-8AC9-BB55401CEE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885776"/>
        <c:axId val="1404371568"/>
      </c:scatterChart>
      <c:valAx>
        <c:axId val="2000885776"/>
        <c:scaling>
          <c:orientation val="minMax"/>
          <c:min val="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Mediciones INA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404371568"/>
        <c:crosses val="autoZero"/>
        <c:crossBetween val="midCat"/>
      </c:valAx>
      <c:valAx>
        <c:axId val="1404371568"/>
        <c:scaling>
          <c:orientation val="minMax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Mediciones Multímetro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2000885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Corriente (mA)</a:t>
            </a:r>
          </a:p>
        </c:rich>
      </c:tx>
      <c:layout>
        <c:manualLayout>
          <c:xMode val="edge"/>
          <c:yMode val="edge"/>
          <c:x val="0.40265542658987047"/>
          <c:y val="2.8333330854476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Corriente (I)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2584900101772991"/>
                  <c:y val="-1.464165937591134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R"/>
                </a:p>
              </c:txPr>
            </c:trendlineLbl>
          </c:trendline>
          <c:xVal>
            <c:numRef>
              <c:f>Hoja1!$J$3:$J$9</c:f>
              <c:numCache>
                <c:formatCode>General</c:formatCode>
                <c:ptCount val="7"/>
                <c:pt idx="0">
                  <c:v>266.56</c:v>
                </c:pt>
                <c:pt idx="1">
                  <c:v>291.88</c:v>
                </c:pt>
                <c:pt idx="2">
                  <c:v>314.55</c:v>
                </c:pt>
                <c:pt idx="3" formatCode="0.00">
                  <c:v>347.7</c:v>
                </c:pt>
                <c:pt idx="4">
                  <c:v>371.72</c:v>
                </c:pt>
                <c:pt idx="5">
                  <c:v>374.39</c:v>
                </c:pt>
                <c:pt idx="6">
                  <c:v>390.23</c:v>
                </c:pt>
              </c:numCache>
            </c:numRef>
          </c:xVal>
          <c:yVal>
            <c:numRef>
              <c:f>Hoja1!$E$13:$E$19</c:f>
              <c:numCache>
                <c:formatCode>0.000</c:formatCode>
                <c:ptCount val="7"/>
                <c:pt idx="0">
                  <c:v>269.1686666666667</c:v>
                </c:pt>
                <c:pt idx="1">
                  <c:v>290.38466666666665</c:v>
                </c:pt>
                <c:pt idx="2">
                  <c:v>313.84200000000004</c:v>
                </c:pt>
                <c:pt idx="3">
                  <c:v>342.84466666666668</c:v>
                </c:pt>
                <c:pt idx="4">
                  <c:v>370.72299999999996</c:v>
                </c:pt>
                <c:pt idx="5">
                  <c:v>373.53500000000003</c:v>
                </c:pt>
                <c:pt idx="6">
                  <c:v>388.92333333333335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3F-42BB-AE94-CCEB657C64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9571728"/>
        <c:axId val="2005633808"/>
      </c:scatterChart>
      <c:valAx>
        <c:axId val="1879571728"/>
        <c:scaling>
          <c:orientation val="minMax"/>
          <c:min val="2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Mediciones</a:t>
                </a:r>
                <a:r>
                  <a:rPr lang="es-CR" baseline="0"/>
                  <a:t> INA (mA)</a:t>
                </a:r>
                <a:endParaRPr lang="es-C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2005633808"/>
        <c:crosses val="autoZero"/>
        <c:crossBetween val="midCat"/>
      </c:valAx>
      <c:valAx>
        <c:axId val="200563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 Mediciones</a:t>
                </a:r>
                <a:r>
                  <a:rPr lang="es-CR" baseline="0"/>
                  <a:t> Multimetro (mA)</a:t>
                </a:r>
                <a:endParaRPr lang="es-C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879571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R"/>
              <a:t>Potencia</a:t>
            </a:r>
            <a:r>
              <a:rPr lang="es-CR" baseline="0"/>
              <a:t> (mW)</a:t>
            </a:r>
            <a:endParaRPr lang="es-C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8640113735783029"/>
                  <c:y val="-3.442330125400991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R"/>
                </a:p>
              </c:txPr>
            </c:trendlineLbl>
          </c:trendline>
          <c:xVal>
            <c:numRef>
              <c:f>Hoja1!$K$3:$K$9</c:f>
              <c:numCache>
                <c:formatCode>General</c:formatCode>
                <c:ptCount val="7"/>
                <c:pt idx="0">
                  <c:v>914.43</c:v>
                </c:pt>
                <c:pt idx="1">
                  <c:v>1103.76</c:v>
                </c:pt>
                <c:pt idx="2">
                  <c:v>1282.0999999999999</c:v>
                </c:pt>
                <c:pt idx="3">
                  <c:v>1541.56</c:v>
                </c:pt>
                <c:pt idx="4">
                  <c:v>1745.09</c:v>
                </c:pt>
                <c:pt idx="5">
                  <c:v>1736.21</c:v>
                </c:pt>
                <c:pt idx="6">
                  <c:v>1918.68</c:v>
                </c:pt>
              </c:numCache>
            </c:numRef>
          </c:xVal>
          <c:yVal>
            <c:numRef>
              <c:f>Hoja1!$E$23:$E$29</c:f>
              <c:numCache>
                <c:formatCode>General</c:formatCode>
                <c:ptCount val="7"/>
                <c:pt idx="0">
                  <c:v>932.66943000000003</c:v>
                </c:pt>
                <c:pt idx="1">
                  <c:v>1091.8463466666665</c:v>
                </c:pt>
                <c:pt idx="2">
                  <c:v>1272.62931</c:v>
                </c:pt>
                <c:pt idx="3">
                  <c:v>1512.6306693333333</c:v>
                </c:pt>
                <c:pt idx="4">
                  <c:v>1744.9931609999996</c:v>
                </c:pt>
                <c:pt idx="5">
                  <c:v>1771.6765050000001</c:v>
                </c:pt>
                <c:pt idx="6">
                  <c:v>1921.2812666666669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F1-4E2E-BC14-41C00DC3B8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3229392"/>
        <c:axId val="2003229872"/>
      </c:scatterChart>
      <c:valAx>
        <c:axId val="2003229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Mediciones</a:t>
                </a:r>
                <a:r>
                  <a:rPr lang="es-CR" baseline="0"/>
                  <a:t> INA</a:t>
                </a:r>
                <a:endParaRPr lang="es-C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2003229872"/>
        <c:crosses val="autoZero"/>
        <c:crossBetween val="midCat"/>
      </c:valAx>
      <c:valAx>
        <c:axId val="200322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 Mediciones</a:t>
                </a:r>
                <a:r>
                  <a:rPr lang="es-CR" baseline="0"/>
                  <a:t> Multimetro</a:t>
                </a:r>
                <a:endParaRPr lang="es-C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2003229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R"/>
              <a:t>Voltaje</a:t>
            </a:r>
            <a:r>
              <a:rPr lang="es-CR" baseline="0"/>
              <a:t> Shunt</a:t>
            </a:r>
            <a:endParaRPr lang="es-C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8125065616797902"/>
                  <c:y val="-4.72203995333916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R"/>
                </a:p>
              </c:txPr>
            </c:trendlineLbl>
          </c:trendline>
          <c:xVal>
            <c:numRef>
              <c:f>Hoja1!$I$3:$I$9</c:f>
              <c:numCache>
                <c:formatCode>General</c:formatCode>
                <c:ptCount val="7"/>
                <c:pt idx="0">
                  <c:v>26</c:v>
                </c:pt>
                <c:pt idx="1">
                  <c:v>29.202000000000002</c:v>
                </c:pt>
                <c:pt idx="2">
                  <c:v>31.463000000000001</c:v>
                </c:pt>
                <c:pt idx="3">
                  <c:v>34.792999999999999</c:v>
                </c:pt>
                <c:pt idx="4">
                  <c:v>37.185000000000002</c:v>
                </c:pt>
                <c:pt idx="5">
                  <c:v>37.462000000000003</c:v>
                </c:pt>
                <c:pt idx="6">
                  <c:v>39.033000000000001</c:v>
                </c:pt>
              </c:numCache>
            </c:numRef>
          </c:xVal>
          <c:yVal>
            <c:numRef>
              <c:f>Hoja1!$E$33:$E$39</c:f>
              <c:numCache>
                <c:formatCode>General</c:formatCode>
                <c:ptCount val="7"/>
                <c:pt idx="0">
                  <c:v>37.333333333333336</c:v>
                </c:pt>
                <c:pt idx="1">
                  <c:v>40.333333333333336</c:v>
                </c:pt>
                <c:pt idx="2">
                  <c:v>44</c:v>
                </c:pt>
                <c:pt idx="3">
                  <c:v>49.333333333333336</c:v>
                </c:pt>
                <c:pt idx="4">
                  <c:v>51.666666666666664</c:v>
                </c:pt>
                <c:pt idx="5">
                  <c:v>51</c:v>
                </c:pt>
                <c:pt idx="6">
                  <c:v>53.666666666666664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DE-440D-81EF-6360B03C1D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850480"/>
        <c:axId val="1948850960"/>
      </c:scatterChart>
      <c:valAx>
        <c:axId val="194885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Mediciones</a:t>
                </a:r>
                <a:r>
                  <a:rPr lang="es-CR" baseline="0"/>
                  <a:t> del INA</a:t>
                </a:r>
                <a:endParaRPr lang="es-C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948850960"/>
        <c:crosses val="autoZero"/>
        <c:crossBetween val="midCat"/>
      </c:valAx>
      <c:valAx>
        <c:axId val="194885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Mediones</a:t>
                </a:r>
                <a:r>
                  <a:rPr lang="es-CR" baseline="0"/>
                  <a:t> del Multimetro</a:t>
                </a:r>
                <a:endParaRPr lang="es-C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948850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Voltaje Bus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R"/>
                </a:p>
              </c:txPr>
            </c:trendlineLbl>
          </c:trendline>
          <c:xVal>
            <c:numRef>
              <c:f>'INA calibracion 1'!$B$52:$B$54</c:f>
              <c:numCache>
                <c:formatCode>General</c:formatCode>
                <c:ptCount val="3"/>
                <c:pt idx="0">
                  <c:v>2.9848395353416026</c:v>
                </c:pt>
                <c:pt idx="1">
                  <c:v>3.9732230754085451</c:v>
                </c:pt>
                <c:pt idx="2">
                  <c:v>4.9527466036621375</c:v>
                </c:pt>
              </c:numCache>
            </c:numRef>
          </c:xVal>
          <c:yVal>
            <c:numRef>
              <c:f>'INA calibracion 1'!$G$9:$G$11</c:f>
              <c:numCache>
                <c:formatCode>General</c:formatCode>
                <c:ptCount val="3"/>
                <c:pt idx="0">
                  <c:v>3.0249999999999999</c:v>
                </c:pt>
                <c:pt idx="1">
                  <c:v>4.0221999999999998</c:v>
                </c:pt>
                <c:pt idx="2">
                  <c:v>5.0132000000000003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12-41F1-AB47-279D1D1743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2442351"/>
        <c:axId val="632442831"/>
      </c:scatterChart>
      <c:valAx>
        <c:axId val="632442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INA</a:t>
                </a:r>
                <a:r>
                  <a:rPr lang="es-CR" baseline="0"/>
                  <a:t> 1 V BUS</a:t>
                </a:r>
                <a:endParaRPr lang="es-C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632442831"/>
        <c:crosses val="autoZero"/>
        <c:crossBetween val="midCat"/>
      </c:valAx>
      <c:valAx>
        <c:axId val="63244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V</a:t>
                </a:r>
                <a:r>
                  <a:rPr lang="es-CR" baseline="0"/>
                  <a:t> Patrón</a:t>
                </a:r>
                <a:endParaRPr lang="es-C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6324423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Corriente (mA) INA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R"/>
                </a:p>
              </c:txPr>
            </c:trendlineLbl>
          </c:trendline>
          <c:xVal>
            <c:numRef>
              <c:f>'INA calibracion 1'!$D$52:$D$54</c:f>
              <c:numCache>
                <c:formatCode>General</c:formatCode>
                <c:ptCount val="3"/>
                <c:pt idx="0">
                  <c:v>232.8318502608162</c:v>
                </c:pt>
                <c:pt idx="1">
                  <c:v>310.21755139613373</c:v>
                </c:pt>
                <c:pt idx="2">
                  <c:v>386.51907538099618</c:v>
                </c:pt>
              </c:numCache>
            </c:numRef>
          </c:xVal>
          <c:yVal>
            <c:numRef>
              <c:f>'INA calibracion 1'!$G$15:$G$17</c:f>
              <c:numCache>
                <c:formatCode>General</c:formatCode>
                <c:ptCount val="3"/>
                <c:pt idx="0">
                  <c:v>234.86219999999997</c:v>
                </c:pt>
                <c:pt idx="1">
                  <c:v>312.38840000000005</c:v>
                </c:pt>
                <c:pt idx="2">
                  <c:v>389.72540000000004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7D-4EA0-8E07-ACA7198EA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4057839"/>
        <c:axId val="624058799"/>
      </c:scatterChart>
      <c:valAx>
        <c:axId val="624057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INA</a:t>
                </a:r>
                <a:r>
                  <a:rPr lang="es-CR" baseline="0"/>
                  <a:t> 1 Corriente</a:t>
                </a:r>
                <a:endParaRPr lang="es-C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624058799"/>
        <c:crosses val="autoZero"/>
        <c:crossBetween val="midCat"/>
      </c:valAx>
      <c:valAx>
        <c:axId val="624058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 Corriente</a:t>
                </a:r>
                <a:r>
                  <a:rPr lang="es-CR" baseline="0"/>
                  <a:t> Patrón</a:t>
                </a:r>
                <a:endParaRPr lang="es-C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624057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 shunt (mV) INA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 shunt INA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R"/>
                </a:p>
              </c:txPr>
            </c:trendlineLbl>
          </c:trendline>
          <c:xVal>
            <c:numRef>
              <c:f>'INA calibracion 1'!$C$52:$C$54</c:f>
              <c:numCache>
                <c:formatCode>General</c:formatCode>
                <c:ptCount val="3"/>
                <c:pt idx="0">
                  <c:v>23.304615145147483</c:v>
                </c:pt>
                <c:pt idx="1">
                  <c:v>31.036734376216049</c:v>
                </c:pt>
                <c:pt idx="2">
                  <c:v>38.669234959919059</c:v>
                </c:pt>
              </c:numCache>
            </c:numRef>
          </c:xVal>
          <c:yVal>
            <c:numRef>
              <c:f>'INA calibracion 1'!$G$21:$G$23</c:f>
              <c:numCache>
                <c:formatCode>General</c:formatCode>
                <c:ptCount val="3"/>
                <c:pt idx="0">
                  <c:v>28.8</c:v>
                </c:pt>
                <c:pt idx="1">
                  <c:v>41.6</c:v>
                </c:pt>
                <c:pt idx="2">
                  <c:v>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71-4AC2-AD87-CBFC4FA5F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171839"/>
        <c:axId val="786998287"/>
      </c:scatterChart>
      <c:valAx>
        <c:axId val="165171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V</a:t>
                </a:r>
                <a:r>
                  <a:rPr lang="es-CR" baseline="0"/>
                  <a:t> INA 1</a:t>
                </a:r>
                <a:endParaRPr lang="es-C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786998287"/>
        <c:crosses val="autoZero"/>
        <c:crossBetween val="midCat"/>
      </c:valAx>
      <c:valAx>
        <c:axId val="786998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V</a:t>
                </a:r>
                <a:r>
                  <a:rPr lang="es-CR" baseline="0"/>
                  <a:t> Patrón</a:t>
                </a:r>
                <a:endParaRPr lang="es-C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65171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 BUS INA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R"/>
                </a:p>
              </c:txPr>
            </c:trendlineLbl>
          </c:trendline>
          <c:xVal>
            <c:numRef>
              <c:f>'INA calibracion 1'!$K$52:$K$54</c:f>
              <c:numCache>
                <c:formatCode>General</c:formatCode>
                <c:ptCount val="3"/>
                <c:pt idx="0">
                  <c:v>2.9799173065564082</c:v>
                </c:pt>
                <c:pt idx="1">
                  <c:v>3.9673164008663124</c:v>
                </c:pt>
                <c:pt idx="2">
                  <c:v>4.9478243748769435</c:v>
                </c:pt>
              </c:numCache>
            </c:numRef>
          </c:xVal>
          <c:yVal>
            <c:numRef>
              <c:f>'INA calibracion 1'!$P$9:$P$11</c:f>
              <c:numCache>
                <c:formatCode>General</c:formatCode>
                <c:ptCount val="3"/>
                <c:pt idx="0">
                  <c:v>3.0230000000000001</c:v>
                </c:pt>
                <c:pt idx="1">
                  <c:v>4.0223999999999993</c:v>
                </c:pt>
                <c:pt idx="2">
                  <c:v>5.0129999999999999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25-41C7-9708-945C2C5770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3461535"/>
        <c:axId val="853458655"/>
      </c:scatterChart>
      <c:valAx>
        <c:axId val="853461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V</a:t>
                </a:r>
                <a:r>
                  <a:rPr lang="es-CR" baseline="0"/>
                  <a:t> INA 2</a:t>
                </a:r>
                <a:endParaRPr lang="es-C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853458655"/>
        <c:crosses val="autoZero"/>
        <c:crossBetween val="midCat"/>
      </c:valAx>
      <c:valAx>
        <c:axId val="853458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V</a:t>
                </a:r>
                <a:r>
                  <a:rPr lang="es-CR" baseline="0"/>
                  <a:t> Patron</a:t>
                </a:r>
                <a:endParaRPr lang="es-C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853461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Corriente (mA) INA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R"/>
                </a:p>
              </c:txPr>
            </c:trendlineLbl>
          </c:trendline>
          <c:xVal>
            <c:numRef>
              <c:f>'INA calibracion 1'!$M$52:$M$54</c:f>
              <c:numCache>
                <c:formatCode>General</c:formatCode>
                <c:ptCount val="3"/>
                <c:pt idx="0">
                  <c:v>230.9396542906822</c:v>
                </c:pt>
                <c:pt idx="1">
                  <c:v>307.72189833282192</c:v>
                </c:pt>
                <c:pt idx="2">
                  <c:v>384.32003682111076</c:v>
                </c:pt>
              </c:numCache>
            </c:numRef>
          </c:xVal>
          <c:yVal>
            <c:numRef>
              <c:f>'INA calibracion 1'!$P$15:$P$17</c:f>
              <c:numCache>
                <c:formatCode>General</c:formatCode>
                <c:ptCount val="3"/>
                <c:pt idx="0">
                  <c:v>234.22499999999999</c:v>
                </c:pt>
                <c:pt idx="1">
                  <c:v>311.4588</c:v>
                </c:pt>
                <c:pt idx="2">
                  <c:v>388.67039999999997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A3-4F99-8FB3-5068D0481A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1190239"/>
        <c:axId val="801190719"/>
      </c:scatterChart>
      <c:valAx>
        <c:axId val="801190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Corriente</a:t>
                </a:r>
                <a:r>
                  <a:rPr lang="es-CR" baseline="0"/>
                  <a:t> INA 2</a:t>
                </a:r>
                <a:endParaRPr lang="es-C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801190719"/>
        <c:crosses val="autoZero"/>
        <c:crossBetween val="midCat"/>
      </c:valAx>
      <c:valAx>
        <c:axId val="80119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 Corriente</a:t>
                </a:r>
                <a:r>
                  <a:rPr lang="es-CR" baseline="0"/>
                  <a:t> Patrón </a:t>
                </a:r>
                <a:endParaRPr lang="es-C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801190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 Shunt INA 2 (mV)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R"/>
                </a:p>
              </c:txPr>
            </c:trendlineLbl>
          </c:trendline>
          <c:xVal>
            <c:numRef>
              <c:f>'INA calibracion 1'!$L$52:$L$54</c:f>
              <c:numCache>
                <c:formatCode>General</c:formatCode>
                <c:ptCount val="3"/>
                <c:pt idx="0">
                  <c:v>23.103821309051288</c:v>
                </c:pt>
                <c:pt idx="1">
                  <c:v>30.779126780294188</c:v>
                </c:pt>
                <c:pt idx="2">
                  <c:v>38.441979920616397</c:v>
                </c:pt>
              </c:numCache>
            </c:numRef>
          </c:xVal>
          <c:yVal>
            <c:numRef>
              <c:f>'INA calibracion 1'!$P$21:$P$23</c:f>
              <c:numCache>
                <c:formatCode>General</c:formatCode>
                <c:ptCount val="3"/>
                <c:pt idx="0">
                  <c:v>31.4</c:v>
                </c:pt>
                <c:pt idx="1">
                  <c:v>42.4</c:v>
                </c:pt>
                <c:pt idx="2">
                  <c:v>53.2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36-4AE0-BFD4-496ADB2913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3463455"/>
        <c:axId val="853463935"/>
      </c:scatterChart>
      <c:valAx>
        <c:axId val="85346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V</a:t>
                </a:r>
                <a:r>
                  <a:rPr lang="es-CR" baseline="0"/>
                  <a:t> INA 2</a:t>
                </a:r>
                <a:endParaRPr lang="es-C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853463935"/>
        <c:crosses val="autoZero"/>
        <c:crossBetween val="midCat"/>
      </c:valAx>
      <c:valAx>
        <c:axId val="853463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 V</a:t>
                </a:r>
                <a:r>
                  <a:rPr lang="es-CR" baseline="0"/>
                  <a:t> Patrón</a:t>
                </a:r>
                <a:endParaRPr lang="es-C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85346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 BUS INA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R"/>
                </a:p>
              </c:txPr>
            </c:trendlineLbl>
          </c:trendline>
          <c:xVal>
            <c:numRef>
              <c:f>'INA calibracion 1'!$T$52:$T$54</c:f>
              <c:numCache>
                <c:formatCode>General</c:formatCode>
                <c:ptCount val="3"/>
                <c:pt idx="0">
                  <c:v>2.9720417405000981</c:v>
                </c:pt>
                <c:pt idx="1">
                  <c:v>3.9584563890529632</c:v>
                </c:pt>
                <c:pt idx="2">
                  <c:v>4.9379799173065564</c:v>
                </c:pt>
              </c:numCache>
            </c:numRef>
          </c:xVal>
          <c:yVal>
            <c:numRef>
              <c:f>'INA calibracion 1'!$Y$9:$Y$11</c:f>
              <c:numCache>
                <c:formatCode>General</c:formatCode>
                <c:ptCount val="3"/>
                <c:pt idx="0">
                  <c:v>3.024</c:v>
                </c:pt>
                <c:pt idx="1">
                  <c:v>4.0220000000000002</c:v>
                </c:pt>
                <c:pt idx="2">
                  <c:v>5.0133999999999999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39-452F-8DAC-EAF0441FD9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4328031"/>
        <c:axId val="624328991"/>
      </c:scatterChart>
      <c:valAx>
        <c:axId val="624328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V</a:t>
                </a:r>
                <a:r>
                  <a:rPr lang="es-CR" baseline="0"/>
                  <a:t> INA 3</a:t>
                </a:r>
                <a:endParaRPr lang="es-C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624328991"/>
        <c:crosses val="autoZero"/>
        <c:crossBetween val="midCat"/>
      </c:valAx>
      <c:valAx>
        <c:axId val="624328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V</a:t>
                </a:r>
                <a:r>
                  <a:rPr lang="es-CR" baseline="0"/>
                  <a:t> Patrón</a:t>
                </a:r>
                <a:endParaRPr lang="es-C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62432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Corriente (mA) INA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R"/>
                </a:p>
              </c:txPr>
            </c:trendlineLbl>
          </c:trendline>
          <c:xVal>
            <c:numRef>
              <c:f>'INA calibracion 1'!$V$52:$V$54</c:f>
              <c:numCache>
                <c:formatCode>General</c:formatCode>
                <c:ptCount val="3"/>
                <c:pt idx="0">
                  <c:v>235.50138079165387</c:v>
                </c:pt>
                <c:pt idx="1">
                  <c:v>313.31666155262349</c:v>
                </c:pt>
                <c:pt idx="2">
                  <c:v>391.52060959394493</c:v>
                </c:pt>
              </c:numCache>
            </c:numRef>
          </c:xVal>
          <c:yVal>
            <c:numRef>
              <c:f>'INA calibracion 1'!$Y$15:$Y$17</c:f>
              <c:numCache>
                <c:formatCode>General</c:formatCode>
                <c:ptCount val="3"/>
                <c:pt idx="0">
                  <c:v>234.2286</c:v>
                </c:pt>
                <c:pt idx="1">
                  <c:v>311.75300000000004</c:v>
                </c:pt>
                <c:pt idx="2">
                  <c:v>388.89080000000001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DF-40C2-A8FD-62BEBE480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1746303"/>
        <c:axId val="801743423"/>
      </c:scatterChart>
      <c:valAx>
        <c:axId val="801746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Corriente</a:t>
                </a:r>
                <a:r>
                  <a:rPr lang="es-CR" baseline="0"/>
                  <a:t> INA 3</a:t>
                </a:r>
                <a:endParaRPr lang="es-C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801743423"/>
        <c:crosses val="autoZero"/>
        <c:crossBetween val="midCat"/>
      </c:valAx>
      <c:valAx>
        <c:axId val="80174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Corriente</a:t>
                </a:r>
                <a:r>
                  <a:rPr lang="es-CR" baseline="0"/>
                  <a:t> Patrón</a:t>
                </a:r>
                <a:endParaRPr lang="es-C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801746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 shunt INA 3 (mV)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966934162384221E-4"/>
                  <c:y val="-8.942233506426706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R"/>
                </a:p>
              </c:txPr>
            </c:trendlineLbl>
          </c:trendline>
          <c:xVal>
            <c:numRef>
              <c:f>'INA calibracion 1'!$U$52:$U$54</c:f>
              <c:numCache>
                <c:formatCode>General</c:formatCode>
                <c:ptCount val="3"/>
                <c:pt idx="0">
                  <c:v>23.577009884037668</c:v>
                </c:pt>
                <c:pt idx="1">
                  <c:v>31.343373025138145</c:v>
                </c:pt>
                <c:pt idx="2">
                  <c:v>39.171219550159549</c:v>
                </c:pt>
              </c:numCache>
            </c:numRef>
          </c:xVal>
          <c:yVal>
            <c:numRef>
              <c:f>'INA calibracion 1'!$Y$21:$Y$23</c:f>
              <c:numCache>
                <c:formatCode>General</c:formatCode>
                <c:ptCount val="3"/>
                <c:pt idx="0">
                  <c:v>31</c:v>
                </c:pt>
                <c:pt idx="1">
                  <c:v>40.4</c:v>
                </c:pt>
                <c:pt idx="2">
                  <c:v>48.8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18-4EA6-BA26-796F0F077C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1047887"/>
        <c:axId val="801046927"/>
      </c:scatterChart>
      <c:valAx>
        <c:axId val="801047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V</a:t>
                </a:r>
                <a:r>
                  <a:rPr lang="es-CR" baseline="0"/>
                  <a:t> INA 3</a:t>
                </a:r>
                <a:endParaRPr lang="es-C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801046927"/>
        <c:crosses val="autoZero"/>
        <c:crossBetween val="midCat"/>
      </c:valAx>
      <c:valAx>
        <c:axId val="801046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V</a:t>
                </a:r>
                <a:r>
                  <a:rPr lang="es-CR" baseline="0"/>
                  <a:t> Patrón</a:t>
                </a:r>
                <a:endParaRPr lang="es-C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801047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3" Type="http://schemas.openxmlformats.org/officeDocument/2006/relationships/chart" Target="../charts/chart7.xml"/><Relationship Id="rId7" Type="http://schemas.openxmlformats.org/officeDocument/2006/relationships/chart" Target="../charts/chart11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Relationship Id="rId9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525235</xdr:colOff>
      <xdr:row>39</xdr:row>
      <xdr:rowOff>165293</xdr:rowOff>
    </xdr:from>
    <xdr:to>
      <xdr:col>7</xdr:col>
      <xdr:colOff>973293</xdr:colOff>
      <xdr:row>55</xdr:row>
      <xdr:rowOff>35386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65F6B17-5B15-C3F3-D9B7-8BB4A78136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157942</xdr:colOff>
      <xdr:row>40</xdr:row>
      <xdr:rowOff>54378</xdr:rowOff>
    </xdr:from>
    <xdr:to>
      <xdr:col>13</xdr:col>
      <xdr:colOff>257002</xdr:colOff>
      <xdr:row>55</xdr:row>
      <xdr:rowOff>54378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AC08CB0-CDEF-879D-FA2F-F6F9557B0C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4481</xdr:colOff>
      <xdr:row>40</xdr:row>
      <xdr:rowOff>4076</xdr:rowOff>
    </xdr:from>
    <xdr:to>
      <xdr:col>19</xdr:col>
      <xdr:colOff>292167</xdr:colOff>
      <xdr:row>55</xdr:row>
      <xdr:rowOff>58679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88A0BCD-1A84-B15C-21AE-248DB7E9A7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443752</xdr:colOff>
      <xdr:row>39</xdr:row>
      <xdr:rowOff>166254</xdr:rowOff>
    </xdr:from>
    <xdr:to>
      <xdr:col>26</xdr:col>
      <xdr:colOff>282387</xdr:colOff>
      <xdr:row>55</xdr:row>
      <xdr:rowOff>40748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B434B2B-50E0-6161-2C24-CDBAE7F7BC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513677</xdr:colOff>
      <xdr:row>55</xdr:row>
      <xdr:rowOff>109369</xdr:rowOff>
    </xdr:from>
    <xdr:to>
      <xdr:col>5</xdr:col>
      <xdr:colOff>371586</xdr:colOff>
      <xdr:row>70</xdr:row>
      <xdr:rowOff>166967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051288E-7CD8-D585-5908-2EEBEDFFEE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504264</xdr:colOff>
      <xdr:row>71</xdr:row>
      <xdr:rowOff>171114</xdr:rowOff>
    </xdr:from>
    <xdr:to>
      <xdr:col>5</xdr:col>
      <xdr:colOff>369793</xdr:colOff>
      <xdr:row>87</xdr:row>
      <xdr:rowOff>47513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03F0BF3-DD1B-30DD-D65A-FC78D23575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450140</xdr:colOff>
      <xdr:row>88</xdr:row>
      <xdr:rowOff>44039</xdr:rowOff>
    </xdr:from>
    <xdr:to>
      <xdr:col>5</xdr:col>
      <xdr:colOff>311859</xdr:colOff>
      <xdr:row>103</xdr:row>
      <xdr:rowOff>101637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1E5A73B-F1CE-4DCA-38D0-283FB85E13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480059</xdr:colOff>
      <xdr:row>54</xdr:row>
      <xdr:rowOff>167303</xdr:rowOff>
    </xdr:from>
    <xdr:to>
      <xdr:col>14</xdr:col>
      <xdr:colOff>315557</xdr:colOff>
      <xdr:row>70</xdr:row>
      <xdr:rowOff>45607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ED661B4-F2E8-E335-351B-FDEE72DDEA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457647</xdr:colOff>
      <xdr:row>71</xdr:row>
      <xdr:rowOff>133685</xdr:rowOff>
    </xdr:from>
    <xdr:to>
      <xdr:col>14</xdr:col>
      <xdr:colOff>293145</xdr:colOff>
      <xdr:row>87</xdr:row>
      <xdr:rowOff>11989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6EA5319-4724-35E1-2ED8-11AA0972A7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468853</xdr:colOff>
      <xdr:row>87</xdr:row>
      <xdr:rowOff>111274</xdr:rowOff>
    </xdr:from>
    <xdr:to>
      <xdr:col>14</xdr:col>
      <xdr:colOff>304351</xdr:colOff>
      <xdr:row>102</xdr:row>
      <xdr:rowOff>168872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ABA77123-8B31-2449-6A4C-5D6DDA3907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356795</xdr:colOff>
      <xdr:row>54</xdr:row>
      <xdr:rowOff>156098</xdr:rowOff>
    </xdr:from>
    <xdr:to>
      <xdr:col>24</xdr:col>
      <xdr:colOff>72838</xdr:colOff>
      <xdr:row>70</xdr:row>
      <xdr:rowOff>34402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CBE13217-CBDA-3C42-7775-7C866D5835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379207</xdr:colOff>
      <xdr:row>72</xdr:row>
      <xdr:rowOff>144892</xdr:rowOff>
    </xdr:from>
    <xdr:to>
      <xdr:col>24</xdr:col>
      <xdr:colOff>95250</xdr:colOff>
      <xdr:row>88</xdr:row>
      <xdr:rowOff>23196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B81567C9-AC15-B3FA-88DC-8D2E55A063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395903</xdr:colOff>
      <xdr:row>89</xdr:row>
      <xdr:rowOff>44039</xdr:rowOff>
    </xdr:from>
    <xdr:to>
      <xdr:col>24</xdr:col>
      <xdr:colOff>119566</xdr:colOff>
      <xdr:row>104</xdr:row>
      <xdr:rowOff>101637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183E3F7D-B8C7-C457-5A0B-C303AE60D4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5115F-84EB-4695-B61F-0346DD996733}">
  <dimension ref="A1:O39"/>
  <sheetViews>
    <sheetView topLeftCell="A30" zoomScaleNormal="100" workbookViewId="0">
      <selection activeCell="L13" sqref="L13"/>
    </sheetView>
  </sheetViews>
  <sheetFormatPr baseColWidth="10" defaultRowHeight="14.4" x14ac:dyDescent="0.3"/>
  <cols>
    <col min="1" max="1" width="21.6640625" customWidth="1"/>
    <col min="2" max="4" width="19.6640625" customWidth="1"/>
    <col min="5" max="5" width="19.6640625" bestFit="1" customWidth="1"/>
    <col min="6" max="6" width="13.44140625" bestFit="1" customWidth="1"/>
    <col min="7" max="7" width="13.6640625" customWidth="1"/>
    <col min="8" max="8" width="17.109375" customWidth="1"/>
    <col min="9" max="9" width="17.109375" bestFit="1" customWidth="1"/>
    <col min="10" max="10" width="13.5546875" bestFit="1" customWidth="1"/>
    <col min="11" max="11" width="15.44140625" bestFit="1" customWidth="1"/>
    <col min="12" max="12" width="13.6640625" customWidth="1"/>
    <col min="13" max="13" width="15" customWidth="1"/>
    <col min="14" max="14" width="13.109375" customWidth="1"/>
    <col min="15" max="15" width="16.44140625" customWidth="1"/>
  </cols>
  <sheetData>
    <row r="1" spans="1:15" x14ac:dyDescent="0.3">
      <c r="M1" s="1" t="s">
        <v>9</v>
      </c>
    </row>
    <row r="2" spans="1:15" x14ac:dyDescent="0.3">
      <c r="B2" t="s">
        <v>10</v>
      </c>
      <c r="C2" t="s">
        <v>11</v>
      </c>
      <c r="D2" t="s">
        <v>12</v>
      </c>
      <c r="E2" s="1" t="s">
        <v>4</v>
      </c>
      <c r="H2" s="1" t="s">
        <v>13</v>
      </c>
      <c r="I2" s="1" t="s">
        <v>8</v>
      </c>
      <c r="J2" s="1" t="s">
        <v>5</v>
      </c>
      <c r="K2" s="1" t="s">
        <v>6</v>
      </c>
      <c r="M2" s="1"/>
    </row>
    <row r="3" spans="1:15" x14ac:dyDescent="0.3">
      <c r="A3" s="2" t="s">
        <v>0</v>
      </c>
      <c r="B3" s="3">
        <v>3.4649999999999999</v>
      </c>
      <c r="C3" s="3">
        <v>3.4649999999999999</v>
      </c>
      <c r="D3" s="3">
        <v>3.4649999999999999</v>
      </c>
      <c r="E3" s="4">
        <f t="shared" ref="E3:E9" si="0">(B3+C3+D3)/3</f>
        <v>3.4649999999999999</v>
      </c>
      <c r="G3" s="2" t="s">
        <v>1</v>
      </c>
      <c r="H3" s="1">
        <v>3.4689999999999999</v>
      </c>
      <c r="I3" s="1">
        <v>26</v>
      </c>
      <c r="J3" s="1">
        <v>266.56</v>
      </c>
      <c r="K3" s="1">
        <v>914.43</v>
      </c>
      <c r="M3" s="1">
        <v>3.5</v>
      </c>
    </row>
    <row r="4" spans="1:15" x14ac:dyDescent="0.3">
      <c r="B4" s="3">
        <v>3.76</v>
      </c>
      <c r="C4" s="3">
        <v>3.76</v>
      </c>
      <c r="D4" s="3">
        <v>3.76</v>
      </c>
      <c r="E4" s="4">
        <f t="shared" si="0"/>
        <v>3.76</v>
      </c>
      <c r="H4" s="4">
        <v>3.81</v>
      </c>
      <c r="I4" s="1">
        <v>29.202000000000002</v>
      </c>
      <c r="J4" s="1">
        <v>291.88</v>
      </c>
      <c r="K4" s="1">
        <v>1103.76</v>
      </c>
      <c r="M4" s="1">
        <v>3.8</v>
      </c>
    </row>
    <row r="5" spans="1:15" x14ac:dyDescent="0.3">
      <c r="B5" s="3">
        <v>4.0549999999999997</v>
      </c>
      <c r="C5" s="3">
        <v>4.0549999999999997</v>
      </c>
      <c r="D5" s="3">
        <v>4.0549999999999997</v>
      </c>
      <c r="E5" s="4">
        <f t="shared" si="0"/>
        <v>4.0549999999999997</v>
      </c>
      <c r="H5" s="1">
        <v>4.1070000000000002</v>
      </c>
      <c r="I5" s="1">
        <v>31.463000000000001</v>
      </c>
      <c r="J5" s="1">
        <v>314.55</v>
      </c>
      <c r="K5" s="1">
        <v>1282.0999999999999</v>
      </c>
      <c r="M5" s="1">
        <v>4.0999999999999996</v>
      </c>
    </row>
    <row r="6" spans="1:15" x14ac:dyDescent="0.3">
      <c r="B6" s="3">
        <v>4.4119999999999999</v>
      </c>
      <c r="C6" s="3">
        <v>4.4119999999999999</v>
      </c>
      <c r="D6" s="3">
        <v>4.4119999999999999</v>
      </c>
      <c r="E6" s="4">
        <f t="shared" si="0"/>
        <v>4.4119999999999999</v>
      </c>
      <c r="H6" s="4">
        <v>4.47</v>
      </c>
      <c r="I6" s="1">
        <v>34.792999999999999</v>
      </c>
      <c r="J6" s="5">
        <v>347.7</v>
      </c>
      <c r="K6" s="1">
        <v>1541.56</v>
      </c>
      <c r="M6" s="1">
        <v>4.4000000000000004</v>
      </c>
    </row>
    <row r="7" spans="1:15" x14ac:dyDescent="0.3">
      <c r="B7" s="3">
        <v>4.7069999999999999</v>
      </c>
      <c r="C7" s="3">
        <v>4.7069999999999999</v>
      </c>
      <c r="D7" s="3">
        <v>4.7069999999999999</v>
      </c>
      <c r="E7" s="4">
        <f t="shared" si="0"/>
        <v>4.7069999999999999</v>
      </c>
      <c r="H7" s="1">
        <v>4.7350000000000003</v>
      </c>
      <c r="I7" s="1">
        <v>37.185000000000002</v>
      </c>
      <c r="J7" s="1">
        <v>371.72</v>
      </c>
      <c r="K7" s="1">
        <v>1745.09</v>
      </c>
      <c r="M7" s="1">
        <v>4.7</v>
      </c>
    </row>
    <row r="8" spans="1:15" x14ac:dyDescent="0.3">
      <c r="B8" s="3">
        <v>4.7430000000000003</v>
      </c>
      <c r="C8" s="3">
        <v>4.7430000000000003</v>
      </c>
      <c r="D8" s="3">
        <v>4.7430000000000003</v>
      </c>
      <c r="E8" s="4">
        <f t="shared" si="0"/>
        <v>4.7430000000000003</v>
      </c>
      <c r="H8" s="1">
        <v>4.6829999999999998</v>
      </c>
      <c r="I8" s="1">
        <v>37.462000000000003</v>
      </c>
      <c r="J8" s="1">
        <v>374.39</v>
      </c>
      <c r="K8" s="1">
        <v>1736.21</v>
      </c>
      <c r="M8" s="1">
        <v>4.8</v>
      </c>
    </row>
    <row r="9" spans="1:15" x14ac:dyDescent="0.3">
      <c r="B9" s="3">
        <v>4.9400000000000004</v>
      </c>
      <c r="C9" s="3">
        <v>4.9400000000000004</v>
      </c>
      <c r="D9" s="3">
        <v>4.9400000000000004</v>
      </c>
      <c r="E9" s="4">
        <f t="shared" si="0"/>
        <v>4.9400000000000004</v>
      </c>
      <c r="H9" s="1">
        <v>4.9610000000000003</v>
      </c>
      <c r="I9" s="1">
        <v>39.033000000000001</v>
      </c>
      <c r="J9" s="1">
        <v>390.23</v>
      </c>
      <c r="K9" s="1">
        <v>1918.68</v>
      </c>
      <c r="M9" s="1">
        <v>5</v>
      </c>
    </row>
    <row r="10" spans="1:15" x14ac:dyDescent="0.3">
      <c r="E10" t="s">
        <v>3</v>
      </c>
      <c r="H10" t="s">
        <v>2</v>
      </c>
    </row>
    <row r="12" spans="1:15" x14ac:dyDescent="0.3">
      <c r="B12" t="s">
        <v>10</v>
      </c>
      <c r="C12" t="s">
        <v>11</v>
      </c>
      <c r="D12" t="s">
        <v>12</v>
      </c>
      <c r="E12" s="1" t="s">
        <v>5</v>
      </c>
      <c r="H12" s="1" t="s">
        <v>16</v>
      </c>
      <c r="I12" s="1" t="s">
        <v>17</v>
      </c>
      <c r="J12" s="1" t="s">
        <v>18</v>
      </c>
      <c r="K12" s="1"/>
      <c r="L12" s="1" t="s">
        <v>14</v>
      </c>
      <c r="M12" s="1" t="s">
        <v>15</v>
      </c>
      <c r="N12" s="1"/>
      <c r="O12" s="1" t="s">
        <v>19</v>
      </c>
    </row>
    <row r="13" spans="1:15" x14ac:dyDescent="0.3">
      <c r="B13" s="3">
        <v>269.16800000000001</v>
      </c>
      <c r="C13" s="3">
        <v>269.17700000000002</v>
      </c>
      <c r="D13" s="3">
        <v>269.161</v>
      </c>
      <c r="E13" s="4">
        <f t="shared" ref="E13:E19" si="1">(B13+C13+D13)/3</f>
        <v>269.1686666666667</v>
      </c>
      <c r="H13" s="4">
        <f>E3</f>
        <v>3.4649999999999999</v>
      </c>
      <c r="I13" s="1">
        <f>H3*$L$13+$M$13</f>
        <v>3.4338101999999999</v>
      </c>
      <c r="J13" s="4">
        <f>H13-I13</f>
        <v>3.1189799999999934E-2</v>
      </c>
      <c r="K13" s="1"/>
      <c r="L13" s="1">
        <v>1.0158</v>
      </c>
      <c r="M13" s="1">
        <v>-0.09</v>
      </c>
      <c r="N13" s="1"/>
      <c r="O13" s="4">
        <f>H13+J13</f>
        <v>3.4961897999999998</v>
      </c>
    </row>
    <row r="14" spans="1:15" x14ac:dyDescent="0.3">
      <c r="B14" s="3">
        <v>290.39100000000002</v>
      </c>
      <c r="C14" s="3">
        <v>290.375</v>
      </c>
      <c r="D14" s="3">
        <v>290.38799999999998</v>
      </c>
      <c r="E14" s="4">
        <f t="shared" si="1"/>
        <v>290.38466666666665</v>
      </c>
      <c r="H14" s="4">
        <f t="shared" ref="H14:H19" si="2">E4</f>
        <v>3.76</v>
      </c>
      <c r="I14" s="1">
        <f t="shared" ref="I14:I18" si="3">H4*$L$13+$M$13</f>
        <v>3.7801980000000004</v>
      </c>
      <c r="J14" s="4">
        <f t="shared" ref="J14:J19" si="4">H14-I14</f>
        <v>-2.0198000000000604E-2</v>
      </c>
      <c r="K14" s="1"/>
      <c r="L14" s="1"/>
      <c r="M14" s="1"/>
      <c r="N14" s="1"/>
      <c r="O14" s="4">
        <f>H14-J14</f>
        <v>3.7801980000000004</v>
      </c>
    </row>
    <row r="15" spans="1:15" x14ac:dyDescent="0.3">
      <c r="B15" s="3">
        <v>313.85000000000002</v>
      </c>
      <c r="C15" s="3">
        <v>313.851</v>
      </c>
      <c r="D15" s="3">
        <v>313.82499999999999</v>
      </c>
      <c r="E15" s="4">
        <f t="shared" si="1"/>
        <v>313.84200000000004</v>
      </c>
      <c r="H15" s="4">
        <f t="shared" si="2"/>
        <v>4.0549999999999997</v>
      </c>
      <c r="I15" s="1">
        <f t="shared" si="3"/>
        <v>4.0818906000000004</v>
      </c>
      <c r="J15" s="4">
        <f t="shared" si="4"/>
        <v>-2.6890600000000653E-2</v>
      </c>
      <c r="K15" s="1"/>
      <c r="L15" s="1"/>
      <c r="M15" s="1"/>
      <c r="N15" s="1"/>
      <c r="O15" s="4">
        <f t="shared" ref="O15:O17" si="5">H15-J15</f>
        <v>4.0818906000000004</v>
      </c>
    </row>
    <row r="16" spans="1:15" x14ac:dyDescent="0.3">
      <c r="B16" s="3">
        <v>342.839</v>
      </c>
      <c r="C16" s="3">
        <v>342.86</v>
      </c>
      <c r="D16" s="3">
        <v>342.83499999999998</v>
      </c>
      <c r="E16" s="4">
        <f t="shared" si="1"/>
        <v>342.84466666666668</v>
      </c>
      <c r="H16" s="4">
        <f t="shared" si="2"/>
        <v>4.4119999999999999</v>
      </c>
      <c r="I16" s="1">
        <f t="shared" si="3"/>
        <v>4.4506259999999997</v>
      </c>
      <c r="J16" s="4">
        <f t="shared" si="4"/>
        <v>-3.8625999999999827E-2</v>
      </c>
      <c r="K16" s="1"/>
      <c r="L16" s="1"/>
      <c r="M16" s="1"/>
      <c r="N16" s="1"/>
      <c r="O16" s="4">
        <f t="shared" si="5"/>
        <v>4.4506259999999997</v>
      </c>
    </row>
    <row r="17" spans="2:15" x14ac:dyDescent="0.3">
      <c r="B17" s="3">
        <v>370.71600000000001</v>
      </c>
      <c r="C17" s="3">
        <v>370.72899999999998</v>
      </c>
      <c r="D17" s="3">
        <v>370.72399999999999</v>
      </c>
      <c r="E17" s="4">
        <f t="shared" si="1"/>
        <v>370.72299999999996</v>
      </c>
      <c r="H17" s="4">
        <f t="shared" si="2"/>
        <v>4.7069999999999999</v>
      </c>
      <c r="I17" s="1">
        <f t="shared" si="3"/>
        <v>4.7198130000000003</v>
      </c>
      <c r="J17" s="4">
        <f t="shared" si="4"/>
        <v>-1.2813000000000407E-2</v>
      </c>
      <c r="K17" s="1"/>
      <c r="L17" s="1"/>
      <c r="M17" s="1"/>
      <c r="N17" s="1"/>
      <c r="O17" s="4">
        <f t="shared" si="5"/>
        <v>4.7198130000000003</v>
      </c>
    </row>
    <row r="18" spans="2:15" x14ac:dyDescent="0.3">
      <c r="B18" s="3">
        <v>373.54399999999998</v>
      </c>
      <c r="C18" s="3">
        <v>373.536</v>
      </c>
      <c r="D18" s="3">
        <v>373.52499999999998</v>
      </c>
      <c r="E18" s="4">
        <f t="shared" si="1"/>
        <v>373.53500000000003</v>
      </c>
      <c r="H18" s="4">
        <f t="shared" si="2"/>
        <v>4.7430000000000003</v>
      </c>
      <c r="I18" s="1">
        <f t="shared" si="3"/>
        <v>4.6669914000000006</v>
      </c>
      <c r="J18" s="4">
        <f t="shared" si="4"/>
        <v>7.600859999999976E-2</v>
      </c>
      <c r="K18" s="1"/>
      <c r="L18" s="1"/>
      <c r="M18" s="1"/>
      <c r="N18" s="1"/>
      <c r="O18" s="4">
        <f>H18+J18</f>
        <v>4.8190086000000001</v>
      </c>
    </row>
    <row r="19" spans="2:15" x14ac:dyDescent="0.3">
      <c r="B19" s="3">
        <v>388.88600000000002</v>
      </c>
      <c r="C19" s="3">
        <v>388.94099999999997</v>
      </c>
      <c r="D19" s="3">
        <v>388.94299999999998</v>
      </c>
      <c r="E19" s="4">
        <f t="shared" si="1"/>
        <v>388.92333333333335</v>
      </c>
      <c r="H19" s="4">
        <f t="shared" si="2"/>
        <v>4.9400000000000004</v>
      </c>
      <c r="I19" s="1">
        <f>H9*$L$13+$M$13</f>
        <v>4.9493838000000006</v>
      </c>
      <c r="J19" s="4">
        <f t="shared" si="4"/>
        <v>-9.3838000000001642E-3</v>
      </c>
      <c r="K19" s="1"/>
      <c r="L19" s="1"/>
      <c r="M19" s="1"/>
      <c r="N19" s="1"/>
      <c r="O19" s="4">
        <f>H19-J19</f>
        <v>4.9493838000000006</v>
      </c>
    </row>
    <row r="22" spans="2:15" x14ac:dyDescent="0.3">
      <c r="E22" s="1" t="s">
        <v>6</v>
      </c>
    </row>
    <row r="23" spans="2:15" x14ac:dyDescent="0.3">
      <c r="B23" s="1"/>
      <c r="C23" s="1"/>
      <c r="D23" s="1"/>
      <c r="E23" s="1">
        <f t="shared" ref="E23:E29" si="6">E3*E13</f>
        <v>932.66943000000003</v>
      </c>
    </row>
    <row r="24" spans="2:15" x14ac:dyDescent="0.3">
      <c r="B24" s="1"/>
      <c r="C24" s="1"/>
      <c r="D24" s="1"/>
      <c r="E24" s="1">
        <f t="shared" si="6"/>
        <v>1091.8463466666665</v>
      </c>
    </row>
    <row r="25" spans="2:15" x14ac:dyDescent="0.3">
      <c r="B25" s="1"/>
      <c r="C25" s="1"/>
      <c r="D25" s="1"/>
      <c r="E25" s="1">
        <f t="shared" si="6"/>
        <v>1272.62931</v>
      </c>
    </row>
    <row r="26" spans="2:15" x14ac:dyDescent="0.3">
      <c r="B26" s="1"/>
      <c r="C26" s="1"/>
      <c r="D26" s="1"/>
      <c r="E26" s="1">
        <f t="shared" si="6"/>
        <v>1512.6306693333333</v>
      </c>
    </row>
    <row r="27" spans="2:15" x14ac:dyDescent="0.3">
      <c r="B27" s="1"/>
      <c r="C27" s="1"/>
      <c r="D27" s="1"/>
      <c r="E27" s="1">
        <f t="shared" si="6"/>
        <v>1744.9931609999996</v>
      </c>
    </row>
    <row r="28" spans="2:15" x14ac:dyDescent="0.3">
      <c r="B28" s="1"/>
      <c r="C28" s="1"/>
      <c r="D28" s="1"/>
      <c r="E28" s="1">
        <f t="shared" si="6"/>
        <v>1771.6765050000001</v>
      </c>
    </row>
    <row r="29" spans="2:15" x14ac:dyDescent="0.3">
      <c r="B29" s="1"/>
      <c r="C29" s="1"/>
      <c r="D29" s="1"/>
      <c r="E29" s="1">
        <f t="shared" si="6"/>
        <v>1921.2812666666669</v>
      </c>
    </row>
    <row r="32" spans="2:15" x14ac:dyDescent="0.3">
      <c r="B32" t="s">
        <v>10</v>
      </c>
      <c r="C32" t="s">
        <v>11</v>
      </c>
      <c r="D32" t="s">
        <v>12</v>
      </c>
      <c r="E32" s="1" t="s">
        <v>7</v>
      </c>
    </row>
    <row r="33" spans="2:5" x14ac:dyDescent="0.3">
      <c r="B33" s="1">
        <v>38</v>
      </c>
      <c r="C33" s="1">
        <v>36</v>
      </c>
      <c r="D33" s="1">
        <v>38</v>
      </c>
      <c r="E33" s="1">
        <f t="shared" ref="E33:E39" si="7">(B33+C33+D33)/3</f>
        <v>37.333333333333336</v>
      </c>
    </row>
    <row r="34" spans="2:5" x14ac:dyDescent="0.3">
      <c r="B34" s="1">
        <v>40</v>
      </c>
      <c r="C34" s="1">
        <v>41</v>
      </c>
      <c r="D34" s="1">
        <v>40</v>
      </c>
      <c r="E34" s="1">
        <f t="shared" si="7"/>
        <v>40.333333333333336</v>
      </c>
    </row>
    <row r="35" spans="2:5" x14ac:dyDescent="0.3">
      <c r="B35" s="1">
        <v>43</v>
      </c>
      <c r="C35" s="1">
        <v>44</v>
      </c>
      <c r="D35" s="1">
        <v>45</v>
      </c>
      <c r="E35" s="1">
        <f t="shared" si="7"/>
        <v>44</v>
      </c>
    </row>
    <row r="36" spans="2:5" x14ac:dyDescent="0.3">
      <c r="B36" s="1">
        <v>49</v>
      </c>
      <c r="C36" s="1">
        <v>50</v>
      </c>
      <c r="D36" s="1">
        <v>49</v>
      </c>
      <c r="E36" s="1">
        <f t="shared" si="7"/>
        <v>49.333333333333336</v>
      </c>
    </row>
    <row r="37" spans="2:5" x14ac:dyDescent="0.3">
      <c r="B37" s="1">
        <v>52</v>
      </c>
      <c r="C37" s="1">
        <v>52</v>
      </c>
      <c r="D37" s="1">
        <v>51</v>
      </c>
      <c r="E37" s="1">
        <f t="shared" si="7"/>
        <v>51.666666666666664</v>
      </c>
    </row>
    <row r="38" spans="2:5" x14ac:dyDescent="0.3">
      <c r="B38" s="1">
        <v>51</v>
      </c>
      <c r="C38" s="1">
        <v>51</v>
      </c>
      <c r="D38" s="1">
        <v>51</v>
      </c>
      <c r="E38" s="1">
        <f t="shared" si="7"/>
        <v>51</v>
      </c>
    </row>
    <row r="39" spans="2:5" x14ac:dyDescent="0.3">
      <c r="B39" s="1">
        <v>54</v>
      </c>
      <c r="C39" s="1">
        <v>53</v>
      </c>
      <c r="D39" s="1">
        <v>54</v>
      </c>
      <c r="E39" s="1">
        <f t="shared" si="7"/>
        <v>53.666666666666664</v>
      </c>
    </row>
  </sheetData>
  <phoneticPr fontId="1" type="noConversion"/>
  <pageMargins left="0.7" right="0.7" top="0.75" bottom="0.75" header="0.3" footer="0.3"/>
  <ignoredErrors>
    <ignoredError sqref="O18" formula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57955-063A-4643-83C4-18A2D415D98A}">
  <dimension ref="A4:Z54"/>
  <sheetViews>
    <sheetView tabSelected="1" topLeftCell="D12" zoomScale="70" zoomScaleNormal="70" workbookViewId="0">
      <selection activeCell="C52" sqref="C52"/>
    </sheetView>
  </sheetViews>
  <sheetFormatPr baseColWidth="10" defaultRowHeight="14.4" x14ac:dyDescent="0.3"/>
  <cols>
    <col min="2" max="2" width="12.21875" bestFit="1" customWidth="1"/>
    <col min="3" max="3" width="14.33203125" bestFit="1" customWidth="1"/>
    <col min="4" max="4" width="15" bestFit="1" customWidth="1"/>
    <col min="5" max="5" width="15.44140625" bestFit="1" customWidth="1"/>
    <col min="7" max="7" width="16.21875" bestFit="1" customWidth="1"/>
    <col min="11" max="11" width="11.5546875" customWidth="1"/>
    <col min="12" max="12" width="20" bestFit="1" customWidth="1"/>
    <col min="13" max="14" width="12.88671875" bestFit="1" customWidth="1"/>
    <col min="16" max="16" width="16.33203125" bestFit="1" customWidth="1"/>
    <col min="23" max="23" width="12.77734375" bestFit="1" customWidth="1"/>
    <col min="25" max="25" width="15.21875" bestFit="1" customWidth="1"/>
  </cols>
  <sheetData>
    <row r="4" spans="1:26" ht="15" thickBot="1" x14ac:dyDescent="0.35"/>
    <row r="5" spans="1:26" ht="15" thickBot="1" x14ac:dyDescent="0.35">
      <c r="A5" s="6"/>
      <c r="B5" s="7"/>
      <c r="C5" s="7"/>
      <c r="D5" s="7"/>
      <c r="E5" s="7"/>
      <c r="F5" s="7"/>
      <c r="G5" s="7"/>
      <c r="H5" s="8"/>
      <c r="J5" s="6"/>
      <c r="K5" s="7"/>
      <c r="L5" s="7"/>
      <c r="M5" s="7"/>
      <c r="N5" s="7"/>
      <c r="O5" s="7"/>
      <c r="P5" s="7"/>
      <c r="Q5" s="8"/>
      <c r="S5" s="6"/>
      <c r="T5" s="7"/>
      <c r="U5" s="7"/>
      <c r="V5" s="7"/>
      <c r="W5" s="7"/>
      <c r="X5" s="7"/>
      <c r="Y5" s="7"/>
      <c r="Z5" s="8"/>
    </row>
    <row r="6" spans="1:26" ht="15" thickBot="1" x14ac:dyDescent="0.35">
      <c r="A6" s="9"/>
      <c r="B6" s="14" t="s">
        <v>26</v>
      </c>
      <c r="C6" s="15"/>
      <c r="D6" s="15"/>
      <c r="E6" s="15"/>
      <c r="F6" s="15"/>
      <c r="G6" s="16"/>
      <c r="H6" s="10"/>
      <c r="J6" s="9"/>
      <c r="K6" s="14" t="s">
        <v>27</v>
      </c>
      <c r="L6" s="15"/>
      <c r="M6" s="15"/>
      <c r="N6" s="15"/>
      <c r="O6" s="15"/>
      <c r="P6" s="16"/>
      <c r="Q6" s="10"/>
      <c r="S6" s="9"/>
      <c r="T6" s="14" t="s">
        <v>29</v>
      </c>
      <c r="U6" s="15"/>
      <c r="V6" s="15"/>
      <c r="W6" s="15"/>
      <c r="X6" s="15"/>
      <c r="Y6" s="16"/>
      <c r="Z6" s="10"/>
    </row>
    <row r="7" spans="1:26" x14ac:dyDescent="0.3">
      <c r="A7" s="9"/>
      <c r="H7" s="10"/>
      <c r="J7" s="9"/>
      <c r="Q7" s="10"/>
      <c r="S7" s="9"/>
      <c r="Z7" s="10"/>
    </row>
    <row r="8" spans="1:26" x14ac:dyDescent="0.3">
      <c r="A8" s="9"/>
      <c r="B8" s="1" t="s">
        <v>10</v>
      </c>
      <c r="C8" s="1" t="s">
        <v>11</v>
      </c>
      <c r="D8" s="1" t="s">
        <v>12</v>
      </c>
      <c r="E8" s="1" t="s">
        <v>20</v>
      </c>
      <c r="F8" s="1" t="s">
        <v>21</v>
      </c>
      <c r="G8" s="1" t="s">
        <v>22</v>
      </c>
      <c r="H8" s="10"/>
      <c r="J8" s="9"/>
      <c r="K8" s="1" t="s">
        <v>10</v>
      </c>
      <c r="L8" s="1" t="s">
        <v>11</v>
      </c>
      <c r="M8" s="1" t="s">
        <v>12</v>
      </c>
      <c r="N8" s="1" t="s">
        <v>20</v>
      </c>
      <c r="O8" s="1" t="s">
        <v>21</v>
      </c>
      <c r="P8" s="1" t="s">
        <v>22</v>
      </c>
      <c r="Q8" s="10"/>
      <c r="S8" s="9"/>
      <c r="T8" s="1" t="s">
        <v>10</v>
      </c>
      <c r="U8" s="1" t="s">
        <v>11</v>
      </c>
      <c r="V8" s="1" t="s">
        <v>12</v>
      </c>
      <c r="W8" s="1" t="s">
        <v>20</v>
      </c>
      <c r="X8" s="1" t="s">
        <v>21</v>
      </c>
      <c r="Y8" s="1" t="s">
        <v>22</v>
      </c>
      <c r="Z8" s="10"/>
    </row>
    <row r="9" spans="1:26" x14ac:dyDescent="0.3">
      <c r="A9" s="9"/>
      <c r="B9" s="1">
        <v>3.0249999999999999</v>
      </c>
      <c r="C9" s="1">
        <v>3.0249999999999999</v>
      </c>
      <c r="D9" s="1">
        <v>3.0249999999999999</v>
      </c>
      <c r="E9" s="1">
        <v>3.0249999999999999</v>
      </c>
      <c r="F9" s="1">
        <v>3.0249999999999999</v>
      </c>
      <c r="G9" s="1">
        <f>AVERAGE(B9:F9)</f>
        <v>3.0249999999999999</v>
      </c>
      <c r="H9" s="10"/>
      <c r="J9" s="9"/>
      <c r="K9" s="1">
        <v>3.0230000000000001</v>
      </c>
      <c r="L9" s="1">
        <v>3.0230000000000001</v>
      </c>
      <c r="M9" s="1">
        <v>3.0230000000000001</v>
      </c>
      <c r="N9" s="1">
        <v>3.0230000000000001</v>
      </c>
      <c r="O9" s="1">
        <v>3.0230000000000001</v>
      </c>
      <c r="P9" s="1">
        <f>AVERAGE(K9:O9)</f>
        <v>3.0230000000000001</v>
      </c>
      <c r="Q9" s="10"/>
      <c r="S9" s="9"/>
      <c r="T9" s="1">
        <v>3.024</v>
      </c>
      <c r="U9" s="1">
        <v>3.024</v>
      </c>
      <c r="V9" s="1">
        <v>3.024</v>
      </c>
      <c r="W9" s="1">
        <v>3.024</v>
      </c>
      <c r="X9" s="1">
        <v>3.024</v>
      </c>
      <c r="Y9" s="1">
        <f>AVERAGE(T9:X9)</f>
        <v>3.024</v>
      </c>
      <c r="Z9" s="10"/>
    </row>
    <row r="10" spans="1:26" x14ac:dyDescent="0.3">
      <c r="A10" s="9"/>
      <c r="B10" s="1">
        <v>4.0229999999999997</v>
      </c>
      <c r="C10" s="1">
        <v>4.0220000000000002</v>
      </c>
      <c r="D10" s="1">
        <v>4.0220000000000002</v>
      </c>
      <c r="E10" s="1">
        <v>4.0220000000000002</v>
      </c>
      <c r="F10" s="1">
        <v>4.0220000000000002</v>
      </c>
      <c r="G10" s="1">
        <f>AVERAGE(B10:F10)</f>
        <v>4.0221999999999998</v>
      </c>
      <c r="H10" s="10"/>
      <c r="J10" s="9"/>
      <c r="K10" s="1">
        <v>4.0220000000000002</v>
      </c>
      <c r="L10" s="1">
        <v>4.0220000000000002</v>
      </c>
      <c r="M10" s="1">
        <v>4.0220000000000002</v>
      </c>
      <c r="N10" s="1">
        <v>4.0229999999999997</v>
      </c>
      <c r="O10" s="1">
        <v>4.0229999999999997</v>
      </c>
      <c r="P10" s="1">
        <f t="shared" ref="P10" si="0">AVERAGE(K10:O10)</f>
        <v>4.0223999999999993</v>
      </c>
      <c r="Q10" s="10"/>
      <c r="S10" s="9"/>
      <c r="T10" s="1">
        <v>4.0220000000000002</v>
      </c>
      <c r="U10" s="1">
        <v>4.0220000000000002</v>
      </c>
      <c r="V10" s="1">
        <v>4.0220000000000002</v>
      </c>
      <c r="W10" s="1">
        <v>4.0220000000000002</v>
      </c>
      <c r="X10" s="1">
        <v>4.0220000000000002</v>
      </c>
      <c r="Y10" s="1">
        <f t="shared" ref="Y10:Y11" si="1">AVERAGE(T10:X10)</f>
        <v>4.0220000000000002</v>
      </c>
      <c r="Z10" s="10"/>
    </row>
    <row r="11" spans="1:26" x14ac:dyDescent="0.3">
      <c r="A11" s="9"/>
      <c r="B11" s="1">
        <v>5.0140000000000002</v>
      </c>
      <c r="C11" s="1">
        <v>5.0129999999999999</v>
      </c>
      <c r="D11" s="1">
        <v>5.0129999999999999</v>
      </c>
      <c r="E11" s="1">
        <v>5.0129999999999999</v>
      </c>
      <c r="F11" s="1">
        <v>5.0129999999999999</v>
      </c>
      <c r="G11" s="1">
        <f>AVERAGE(B11:F11)</f>
        <v>5.0132000000000003</v>
      </c>
      <c r="H11" s="10"/>
      <c r="J11" s="9"/>
      <c r="K11" s="1">
        <v>5.0129999999999999</v>
      </c>
      <c r="L11" s="1">
        <v>5.0129999999999999</v>
      </c>
      <c r="M11" s="1">
        <v>5.0129999999999999</v>
      </c>
      <c r="N11" s="1">
        <v>5.0129999999999999</v>
      </c>
      <c r="O11" s="1">
        <v>5.0129999999999999</v>
      </c>
      <c r="P11" s="1">
        <f>AVERAGE(K11:O11)</f>
        <v>5.0129999999999999</v>
      </c>
      <c r="Q11" s="10"/>
      <c r="S11" s="9"/>
      <c r="T11" s="1">
        <v>5.0140000000000002</v>
      </c>
      <c r="U11" s="1">
        <v>5.0140000000000002</v>
      </c>
      <c r="V11" s="1">
        <v>5.0129999999999999</v>
      </c>
      <c r="W11" s="1">
        <v>5.0129999999999999</v>
      </c>
      <c r="X11" s="1">
        <v>5.0129999999999999</v>
      </c>
      <c r="Y11" s="1">
        <f t="shared" si="1"/>
        <v>5.0133999999999999</v>
      </c>
      <c r="Z11" s="10"/>
    </row>
    <row r="12" spans="1:26" x14ac:dyDescent="0.3">
      <c r="A12" s="9"/>
      <c r="H12" s="10"/>
      <c r="J12" s="9"/>
      <c r="Q12" s="10"/>
      <c r="S12" s="9"/>
      <c r="Z12" s="10"/>
    </row>
    <row r="13" spans="1:26" x14ac:dyDescent="0.3">
      <c r="A13" s="9"/>
      <c r="H13" s="10"/>
      <c r="J13" s="9"/>
      <c r="Q13" s="10"/>
      <c r="S13" s="9"/>
      <c r="Z13" s="10"/>
    </row>
    <row r="14" spans="1:26" x14ac:dyDescent="0.3">
      <c r="A14" s="9"/>
      <c r="B14" s="1" t="s">
        <v>10</v>
      </c>
      <c r="C14" s="1" t="s">
        <v>11</v>
      </c>
      <c r="D14" s="1" t="s">
        <v>12</v>
      </c>
      <c r="E14" s="1" t="s">
        <v>20</v>
      </c>
      <c r="F14" s="1" t="s">
        <v>21</v>
      </c>
      <c r="G14" s="1" t="s">
        <v>23</v>
      </c>
      <c r="H14" s="10"/>
      <c r="J14" s="9"/>
      <c r="K14" s="1" t="s">
        <v>10</v>
      </c>
      <c r="L14" s="1" t="s">
        <v>11</v>
      </c>
      <c r="M14" s="1" t="s">
        <v>12</v>
      </c>
      <c r="N14" s="1" t="s">
        <v>20</v>
      </c>
      <c r="O14" s="1" t="s">
        <v>21</v>
      </c>
      <c r="P14" s="1" t="s">
        <v>23</v>
      </c>
      <c r="Q14" s="10"/>
      <c r="S14" s="9"/>
      <c r="T14" s="1" t="s">
        <v>10</v>
      </c>
      <c r="U14" s="1" t="s">
        <v>11</v>
      </c>
      <c r="V14" s="1" t="s">
        <v>12</v>
      </c>
      <c r="W14" s="1" t="s">
        <v>20</v>
      </c>
      <c r="X14" s="1" t="s">
        <v>21</v>
      </c>
      <c r="Y14" s="1" t="s">
        <v>23</v>
      </c>
      <c r="Z14" s="10"/>
    </row>
    <row r="15" spans="1:26" x14ac:dyDescent="0.3">
      <c r="A15" s="9"/>
      <c r="B15" s="1">
        <v>234.84</v>
      </c>
      <c r="C15" s="1">
        <v>234.85</v>
      </c>
      <c r="D15" s="1">
        <v>234.86099999999999</v>
      </c>
      <c r="E15" s="1">
        <v>234.87700000000001</v>
      </c>
      <c r="F15" s="1">
        <v>234.88300000000001</v>
      </c>
      <c r="G15" s="1">
        <f>AVERAGE(B15:F15)</f>
        <v>234.86219999999997</v>
      </c>
      <c r="H15" s="10"/>
      <c r="J15" s="9"/>
      <c r="K15" s="1">
        <v>234.24799999999999</v>
      </c>
      <c r="L15" s="1">
        <v>234.22900000000001</v>
      </c>
      <c r="M15" s="1">
        <v>234.20099999999999</v>
      </c>
      <c r="N15" s="1">
        <v>234.23099999999999</v>
      </c>
      <c r="O15" s="1">
        <v>234.21600000000001</v>
      </c>
      <c r="P15" s="1">
        <f>AVERAGE(K15:O15)</f>
        <v>234.22499999999999</v>
      </c>
      <c r="Q15" s="10"/>
      <c r="S15" s="9"/>
      <c r="T15" s="1">
        <v>234.208</v>
      </c>
      <c r="U15" s="1">
        <v>234.23</v>
      </c>
      <c r="V15" s="1">
        <v>234.21600000000001</v>
      </c>
      <c r="W15" s="1">
        <v>234.244</v>
      </c>
      <c r="X15" s="1">
        <v>234.245</v>
      </c>
      <c r="Y15" s="1">
        <f>AVERAGE(T15:X15)</f>
        <v>234.2286</v>
      </c>
      <c r="Z15" s="10"/>
    </row>
    <row r="16" spans="1:26" x14ac:dyDescent="0.3">
      <c r="A16" s="9"/>
      <c r="B16" s="1">
        <v>312.39499999999998</v>
      </c>
      <c r="C16" s="1">
        <v>312.38400000000001</v>
      </c>
      <c r="D16" s="1">
        <v>312.38200000000001</v>
      </c>
      <c r="E16" s="1">
        <v>312.37099999999998</v>
      </c>
      <c r="F16" s="1">
        <v>312.41000000000003</v>
      </c>
      <c r="G16" s="1">
        <f t="shared" ref="G16" si="2">AVERAGE(B16:F16)</f>
        <v>312.38840000000005</v>
      </c>
      <c r="H16" s="10"/>
      <c r="J16" s="9"/>
      <c r="K16" s="1">
        <v>311.44099999999997</v>
      </c>
      <c r="L16" s="1">
        <v>311.43400000000003</v>
      </c>
      <c r="M16" s="1">
        <v>311.46100000000001</v>
      </c>
      <c r="N16" s="1">
        <v>311.48099999999999</v>
      </c>
      <c r="O16" s="1">
        <v>311.47699999999998</v>
      </c>
      <c r="P16" s="1">
        <f t="shared" ref="P16:P17" si="3">AVERAGE(K16:O16)</f>
        <v>311.4588</v>
      </c>
      <c r="Q16" s="10"/>
      <c r="S16" s="9"/>
      <c r="T16" s="1">
        <v>311.75299999999999</v>
      </c>
      <c r="U16" s="1">
        <v>311.745</v>
      </c>
      <c r="V16" s="1">
        <v>311.75400000000002</v>
      </c>
      <c r="W16" s="1">
        <v>311.76900000000001</v>
      </c>
      <c r="X16" s="1">
        <v>311.74400000000003</v>
      </c>
      <c r="Y16" s="1">
        <f t="shared" ref="Y16:Y17" si="4">AVERAGE(T16:X16)</f>
        <v>311.75300000000004</v>
      </c>
      <c r="Z16" s="10"/>
    </row>
    <row r="17" spans="1:26" x14ac:dyDescent="0.3">
      <c r="A17" s="9"/>
      <c r="B17" s="1">
        <v>389.57100000000003</v>
      </c>
      <c r="C17" s="1">
        <v>389.68200000000002</v>
      </c>
      <c r="D17" s="1">
        <v>389.791</v>
      </c>
      <c r="E17" s="1">
        <v>389.78699999999998</v>
      </c>
      <c r="F17" s="1">
        <v>389.79599999999999</v>
      </c>
      <c r="G17" s="1">
        <f>AVERAGE(B17:F17)</f>
        <v>389.72540000000004</v>
      </c>
      <c r="H17" s="10"/>
      <c r="J17" s="9"/>
      <c r="K17" s="1">
        <v>388.66</v>
      </c>
      <c r="L17" s="1">
        <v>388.64299999999997</v>
      </c>
      <c r="M17" s="1">
        <v>388.68799999999999</v>
      </c>
      <c r="N17" s="1">
        <v>388.66300000000001</v>
      </c>
      <c r="O17" s="1">
        <v>388.69799999999998</v>
      </c>
      <c r="P17" s="1">
        <f t="shared" si="3"/>
        <v>388.67039999999997</v>
      </c>
      <c r="Q17" s="10"/>
      <c r="S17" s="9"/>
      <c r="T17" s="1">
        <v>388.86700000000002</v>
      </c>
      <c r="U17" s="1">
        <v>388.89600000000002</v>
      </c>
      <c r="V17" s="1">
        <v>388.90899999999999</v>
      </c>
      <c r="W17" s="1">
        <v>388.89100000000002</v>
      </c>
      <c r="X17" s="1">
        <v>388.89100000000002</v>
      </c>
      <c r="Y17" s="1">
        <f t="shared" si="4"/>
        <v>388.89080000000001</v>
      </c>
      <c r="Z17" s="10"/>
    </row>
    <row r="18" spans="1:26" x14ac:dyDescent="0.3">
      <c r="A18" s="9"/>
      <c r="H18" s="10"/>
      <c r="J18" s="9"/>
      <c r="Q18" s="10"/>
      <c r="S18" s="9"/>
      <c r="Z18" s="10"/>
    </row>
    <row r="19" spans="1:26" x14ac:dyDescent="0.3">
      <c r="A19" s="9"/>
      <c r="H19" s="10"/>
      <c r="J19" s="9"/>
      <c r="Q19" s="10"/>
      <c r="S19" s="9"/>
      <c r="Z19" s="10"/>
    </row>
    <row r="20" spans="1:26" x14ac:dyDescent="0.3">
      <c r="A20" s="9"/>
      <c r="B20" s="1" t="s">
        <v>10</v>
      </c>
      <c r="C20" s="1" t="s">
        <v>11</v>
      </c>
      <c r="D20" s="1" t="s">
        <v>12</v>
      </c>
      <c r="E20" s="1" t="s">
        <v>20</v>
      </c>
      <c r="F20" s="1" t="s">
        <v>21</v>
      </c>
      <c r="G20" s="1" t="s">
        <v>24</v>
      </c>
      <c r="H20" s="10"/>
      <c r="J20" s="9"/>
      <c r="K20" s="1" t="s">
        <v>10</v>
      </c>
      <c r="L20" s="1" t="s">
        <v>11</v>
      </c>
      <c r="M20" s="1" t="s">
        <v>12</v>
      </c>
      <c r="N20" s="1" t="s">
        <v>20</v>
      </c>
      <c r="O20" s="1" t="s">
        <v>21</v>
      </c>
      <c r="P20" s="1" t="s">
        <v>30</v>
      </c>
      <c r="Q20" s="10"/>
      <c r="S20" s="9"/>
      <c r="T20" s="1" t="s">
        <v>10</v>
      </c>
      <c r="U20" s="1" t="s">
        <v>11</v>
      </c>
      <c r="V20" s="1" t="s">
        <v>12</v>
      </c>
      <c r="W20" s="1" t="s">
        <v>20</v>
      </c>
      <c r="X20" s="1" t="s">
        <v>21</v>
      </c>
      <c r="Y20" s="1" t="s">
        <v>30</v>
      </c>
      <c r="Z20" s="10"/>
    </row>
    <row r="21" spans="1:26" x14ac:dyDescent="0.3">
      <c r="A21" s="9"/>
      <c r="B21" s="1">
        <v>28</v>
      </c>
      <c r="C21" s="1">
        <v>28</v>
      </c>
      <c r="D21" s="1">
        <v>29</v>
      </c>
      <c r="E21" s="1">
        <v>29</v>
      </c>
      <c r="F21" s="1">
        <v>30</v>
      </c>
      <c r="G21" s="1">
        <f>AVERAGE(B21:F21)</f>
        <v>28.8</v>
      </c>
      <c r="H21" s="10"/>
      <c r="J21" s="9"/>
      <c r="K21" s="1">
        <v>31</v>
      </c>
      <c r="L21" s="1">
        <v>31</v>
      </c>
      <c r="M21" s="1">
        <v>32</v>
      </c>
      <c r="N21" s="1">
        <v>31</v>
      </c>
      <c r="O21" s="1">
        <v>32</v>
      </c>
      <c r="P21" s="1">
        <f>AVERAGE(K21:O21)</f>
        <v>31.4</v>
      </c>
      <c r="Q21" s="10"/>
      <c r="S21" s="9"/>
      <c r="T21" s="1">
        <v>31</v>
      </c>
      <c r="U21" s="1">
        <v>30</v>
      </c>
      <c r="V21" s="1">
        <v>31</v>
      </c>
      <c r="W21" s="1">
        <v>32</v>
      </c>
      <c r="X21" s="1">
        <v>31</v>
      </c>
      <c r="Y21" s="1">
        <f>AVERAGE(T21:X21)</f>
        <v>31</v>
      </c>
      <c r="Z21" s="10"/>
    </row>
    <row r="22" spans="1:26" x14ac:dyDescent="0.3">
      <c r="A22" s="9"/>
      <c r="B22" s="1">
        <v>42</v>
      </c>
      <c r="C22" s="1">
        <v>43</v>
      </c>
      <c r="D22" s="1">
        <v>41</v>
      </c>
      <c r="E22" s="1">
        <v>41</v>
      </c>
      <c r="F22" s="1">
        <v>41</v>
      </c>
      <c r="G22" s="1">
        <f t="shared" ref="G22:G23" si="5">AVERAGE(B22:F22)</f>
        <v>41.6</v>
      </c>
      <c r="H22" s="10"/>
      <c r="J22" s="9"/>
      <c r="K22" s="1">
        <v>42</v>
      </c>
      <c r="L22" s="1">
        <v>41</v>
      </c>
      <c r="M22" s="1">
        <v>45</v>
      </c>
      <c r="N22" s="1">
        <v>42</v>
      </c>
      <c r="O22" s="1">
        <v>42</v>
      </c>
      <c r="P22" s="1">
        <f t="shared" ref="P22:P23" si="6">AVERAGE(K22:O22)</f>
        <v>42.4</v>
      </c>
      <c r="Q22" s="10"/>
      <c r="S22" s="9"/>
      <c r="T22" s="1">
        <v>41</v>
      </c>
      <c r="U22" s="1">
        <v>41</v>
      </c>
      <c r="V22" s="1">
        <v>40</v>
      </c>
      <c r="W22" s="1">
        <v>40</v>
      </c>
      <c r="X22" s="1">
        <v>40</v>
      </c>
      <c r="Y22" s="1">
        <f t="shared" ref="Y22:Y23" si="7">AVERAGE(T22:X22)</f>
        <v>40.4</v>
      </c>
      <c r="Z22" s="10"/>
    </row>
    <row r="23" spans="1:26" x14ac:dyDescent="0.3">
      <c r="A23" s="9"/>
      <c r="B23" s="1">
        <v>52</v>
      </c>
      <c r="C23" s="1">
        <v>52</v>
      </c>
      <c r="D23" s="1">
        <v>52</v>
      </c>
      <c r="E23" s="1">
        <v>52</v>
      </c>
      <c r="F23" s="1">
        <v>52</v>
      </c>
      <c r="G23" s="1">
        <f t="shared" si="5"/>
        <v>52</v>
      </c>
      <c r="H23" s="10"/>
      <c r="J23" s="9"/>
      <c r="K23" s="1">
        <v>54</v>
      </c>
      <c r="L23" s="1">
        <v>54</v>
      </c>
      <c r="M23" s="1">
        <v>53</v>
      </c>
      <c r="N23" s="1">
        <v>53</v>
      </c>
      <c r="O23" s="1">
        <v>52</v>
      </c>
      <c r="P23" s="1">
        <f t="shared" si="6"/>
        <v>53.2</v>
      </c>
      <c r="Q23" s="10"/>
      <c r="S23" s="9"/>
      <c r="T23" s="1">
        <v>49</v>
      </c>
      <c r="U23" s="1">
        <v>49</v>
      </c>
      <c r="V23" s="1">
        <v>49</v>
      </c>
      <c r="W23" s="1">
        <v>49</v>
      </c>
      <c r="X23" s="1">
        <v>48</v>
      </c>
      <c r="Y23" s="1">
        <f t="shared" si="7"/>
        <v>48.8</v>
      </c>
      <c r="Z23" s="10"/>
    </row>
    <row r="24" spans="1:26" x14ac:dyDescent="0.3">
      <c r="A24" s="9"/>
      <c r="H24" s="10"/>
      <c r="J24" s="9"/>
      <c r="Q24" s="10"/>
      <c r="S24" s="9"/>
      <c r="Z24" s="10"/>
    </row>
    <row r="25" spans="1:26" x14ac:dyDescent="0.3">
      <c r="A25" s="9"/>
      <c r="B25" s="1" t="s">
        <v>10</v>
      </c>
      <c r="C25" s="1" t="s">
        <v>11</v>
      </c>
      <c r="D25" s="1" t="s">
        <v>12</v>
      </c>
      <c r="E25" s="1" t="s">
        <v>20</v>
      </c>
      <c r="F25" s="1" t="s">
        <v>21</v>
      </c>
      <c r="G25" s="1" t="s">
        <v>25</v>
      </c>
      <c r="H25" s="10"/>
      <c r="J25" s="9"/>
      <c r="K25" s="1" t="s">
        <v>10</v>
      </c>
      <c r="L25" s="1" t="s">
        <v>11</v>
      </c>
      <c r="M25" s="1" t="s">
        <v>12</v>
      </c>
      <c r="N25" s="1" t="s">
        <v>20</v>
      </c>
      <c r="O25" s="1" t="s">
        <v>21</v>
      </c>
      <c r="P25" s="1" t="s">
        <v>32</v>
      </c>
      <c r="Q25" s="10"/>
      <c r="S25" s="9"/>
      <c r="T25" s="1" t="s">
        <v>10</v>
      </c>
      <c r="U25" s="1" t="s">
        <v>11</v>
      </c>
      <c r="V25" s="1" t="s">
        <v>12</v>
      </c>
      <c r="W25" s="1" t="s">
        <v>20</v>
      </c>
      <c r="X25" s="1" t="s">
        <v>21</v>
      </c>
      <c r="Y25" s="1" t="s">
        <v>28</v>
      </c>
      <c r="Z25" s="10"/>
    </row>
    <row r="26" spans="1:26" x14ac:dyDescent="0.3">
      <c r="A26" s="9"/>
      <c r="B26" s="1">
        <f>B15*B9</f>
        <v>710.39099999999996</v>
      </c>
      <c r="C26" s="1">
        <f>C9*C15</f>
        <v>710.42124999999999</v>
      </c>
      <c r="D26" s="1">
        <f>D9*D15</f>
        <v>710.45452499999999</v>
      </c>
      <c r="E26" s="1">
        <f>E9*E15</f>
        <v>710.502925</v>
      </c>
      <c r="F26" s="1">
        <f>F9*F15</f>
        <v>710.521075</v>
      </c>
      <c r="G26" s="1">
        <f>AVERAGE(B26:F26)</f>
        <v>710.45815500000003</v>
      </c>
      <c r="H26" s="10"/>
      <c r="J26" s="9"/>
      <c r="K26" s="1">
        <f>K9*K15</f>
        <v>708.13170400000001</v>
      </c>
      <c r="L26" s="1">
        <f t="shared" ref="L26:O26" si="8">L9*L15</f>
        <v>708.07426700000008</v>
      </c>
      <c r="M26" s="1">
        <f t="shared" si="8"/>
        <v>707.98962300000005</v>
      </c>
      <c r="N26" s="1">
        <f t="shared" si="8"/>
        <v>708.08031300000005</v>
      </c>
      <c r="O26" s="1">
        <f t="shared" si="8"/>
        <v>708.03496800000005</v>
      </c>
      <c r="P26" s="1">
        <f>AVERAGE(K26:O26)</f>
        <v>708.06217500000002</v>
      </c>
      <c r="Q26" s="10"/>
      <c r="S26" s="9"/>
      <c r="T26" s="1">
        <f>T9*T15</f>
        <v>708.24499200000002</v>
      </c>
      <c r="U26" s="1">
        <f t="shared" ref="U26:X26" si="9">U9*U15</f>
        <v>708.31151999999997</v>
      </c>
      <c r="V26" s="1">
        <f t="shared" si="9"/>
        <v>708.269184</v>
      </c>
      <c r="W26" s="1">
        <f t="shared" si="9"/>
        <v>708.35385599999995</v>
      </c>
      <c r="X26" s="1">
        <f t="shared" si="9"/>
        <v>708.35688000000005</v>
      </c>
      <c r="Y26" s="1">
        <f>AVERAGE(T26:X26)</f>
        <v>708.30728639999995</v>
      </c>
      <c r="Z26" s="10"/>
    </row>
    <row r="27" spans="1:26" x14ac:dyDescent="0.3">
      <c r="A27" s="9"/>
      <c r="B27" s="1">
        <f t="shared" ref="B27:B28" si="10">B16*B10</f>
        <v>1256.7650849999998</v>
      </c>
      <c r="C27" s="1">
        <f t="shared" ref="C27:F28" si="11">C10*C16</f>
        <v>1256.4084480000001</v>
      </c>
      <c r="D27" s="1">
        <f t="shared" si="11"/>
        <v>1256.4004040000002</v>
      </c>
      <c r="E27" s="1">
        <f t="shared" si="11"/>
        <v>1256.356162</v>
      </c>
      <c r="F27" s="1">
        <f t="shared" si="11"/>
        <v>1256.5130200000001</v>
      </c>
      <c r="G27" s="1">
        <f>AVERAGE(B27:F27)</f>
        <v>1256.4886238000001</v>
      </c>
      <c r="H27" s="10"/>
      <c r="J27" s="9"/>
      <c r="K27" s="1">
        <f t="shared" ref="K27:O28" si="12">K10*K16</f>
        <v>1252.6157020000001</v>
      </c>
      <c r="L27" s="1">
        <f>L10*L16</f>
        <v>1252.5875480000002</v>
      </c>
      <c r="M27" s="1">
        <f>M10*M16</f>
        <v>1252.6961420000002</v>
      </c>
      <c r="N27" s="1">
        <f>N10*N16</f>
        <v>1253.0880629999999</v>
      </c>
      <c r="O27" s="1">
        <f t="shared" si="12"/>
        <v>1253.0719709999998</v>
      </c>
      <c r="P27" s="1">
        <f>AVERAGE(K27:O27)</f>
        <v>1252.8118852</v>
      </c>
      <c r="Q27" s="10"/>
      <c r="S27" s="9"/>
      <c r="T27" s="1">
        <f t="shared" ref="T27:X28" si="13">T10*T16</f>
        <v>1253.8705660000001</v>
      </c>
      <c r="U27" s="1">
        <f>U10*U16</f>
        <v>1253.8383900000001</v>
      </c>
      <c r="V27" s="1">
        <f t="shared" si="13"/>
        <v>1253.8745880000001</v>
      </c>
      <c r="W27" s="1">
        <f t="shared" si="13"/>
        <v>1253.9349180000002</v>
      </c>
      <c r="X27" s="1">
        <f t="shared" si="13"/>
        <v>1253.8343680000003</v>
      </c>
      <c r="Y27" s="1">
        <f>AVERAGE(T27:X27)</f>
        <v>1253.8705660000003</v>
      </c>
      <c r="Z27" s="10"/>
    </row>
    <row r="28" spans="1:26" x14ac:dyDescent="0.3">
      <c r="A28" s="9"/>
      <c r="B28" s="1">
        <f t="shared" si="10"/>
        <v>1953.3089940000002</v>
      </c>
      <c r="C28" s="1">
        <f t="shared" si="11"/>
        <v>1953.475866</v>
      </c>
      <c r="D28" s="1">
        <f t="shared" si="11"/>
        <v>1954.022283</v>
      </c>
      <c r="E28" s="1">
        <f t="shared" si="11"/>
        <v>1954.0022309999999</v>
      </c>
      <c r="F28" s="1">
        <f t="shared" si="11"/>
        <v>1954.0473479999998</v>
      </c>
      <c r="G28" s="1">
        <f>AVERAGE(B28:F28)</f>
        <v>1953.7713444000001</v>
      </c>
      <c r="H28" s="10"/>
      <c r="J28" s="9"/>
      <c r="K28" s="1">
        <f t="shared" si="12"/>
        <v>1948.35258</v>
      </c>
      <c r="L28" s="1">
        <f t="shared" si="12"/>
        <v>1948.2673589999997</v>
      </c>
      <c r="M28" s="1">
        <f t="shared" si="12"/>
        <v>1948.4929439999999</v>
      </c>
      <c r="N28" s="1">
        <f t="shared" si="12"/>
        <v>1948.3676190000001</v>
      </c>
      <c r="O28" s="1">
        <f t="shared" si="12"/>
        <v>1948.5430739999999</v>
      </c>
      <c r="P28" s="1">
        <f>AVERAGE(K28:O28)</f>
        <v>1948.4047151999998</v>
      </c>
      <c r="Q28" s="10"/>
      <c r="S28" s="9"/>
      <c r="T28" s="1">
        <f t="shared" si="13"/>
        <v>1949.7791380000001</v>
      </c>
      <c r="U28" s="1">
        <f t="shared" si="13"/>
        <v>1949.9245440000002</v>
      </c>
      <c r="V28" s="1">
        <f t="shared" si="13"/>
        <v>1949.600817</v>
      </c>
      <c r="W28" s="1">
        <f t="shared" si="13"/>
        <v>1949.510583</v>
      </c>
      <c r="X28" s="1">
        <f t="shared" si="13"/>
        <v>1949.510583</v>
      </c>
      <c r="Y28" s="1">
        <f>AVERAGE(T28:X28)</f>
        <v>1949.665133</v>
      </c>
      <c r="Z28" s="10"/>
    </row>
    <row r="29" spans="1:26" x14ac:dyDescent="0.3">
      <c r="A29" s="9"/>
      <c r="H29" s="10"/>
      <c r="J29" s="9"/>
      <c r="Q29" s="10"/>
      <c r="S29" s="9"/>
      <c r="Z29" s="10"/>
    </row>
    <row r="30" spans="1:26" x14ac:dyDescent="0.3">
      <c r="A30" s="9"/>
      <c r="H30" s="10"/>
      <c r="J30" s="9"/>
      <c r="Q30" s="10"/>
      <c r="S30" s="9"/>
      <c r="Z30" s="10"/>
    </row>
    <row r="31" spans="1:26" x14ac:dyDescent="0.3">
      <c r="A31" s="9"/>
      <c r="H31" s="10"/>
      <c r="J31" s="9"/>
      <c r="Q31" s="10"/>
      <c r="S31" s="9"/>
      <c r="Z31" s="10"/>
    </row>
    <row r="32" spans="1:26" x14ac:dyDescent="0.3">
      <c r="A32" s="9"/>
      <c r="B32" s="1" t="s">
        <v>13</v>
      </c>
      <c r="C32" s="1" t="s">
        <v>8</v>
      </c>
      <c r="D32" s="1" t="s">
        <v>5</v>
      </c>
      <c r="E32" s="1" t="s">
        <v>6</v>
      </c>
      <c r="H32" s="10"/>
      <c r="J32" s="9"/>
      <c r="K32" s="1" t="s">
        <v>13</v>
      </c>
      <c r="L32" s="1" t="s">
        <v>8</v>
      </c>
      <c r="M32" s="1" t="s">
        <v>5</v>
      </c>
      <c r="N32" s="1" t="s">
        <v>6</v>
      </c>
      <c r="Q32" s="10"/>
      <c r="S32" s="9"/>
      <c r="T32" s="1" t="s">
        <v>13</v>
      </c>
      <c r="U32" s="1" t="s">
        <v>8</v>
      </c>
      <c r="V32" s="1" t="s">
        <v>5</v>
      </c>
      <c r="W32" s="1" t="s">
        <v>6</v>
      </c>
      <c r="Z32" s="10"/>
    </row>
    <row r="33" spans="1:26" x14ac:dyDescent="0.3">
      <c r="A33" s="9"/>
      <c r="B33" s="1">
        <v>2.9420000000000002</v>
      </c>
      <c r="C33" s="1">
        <v>33.545999999999999</v>
      </c>
      <c r="D33" s="1">
        <v>234.05</v>
      </c>
      <c r="E33" s="1">
        <v>691.22</v>
      </c>
      <c r="H33" s="10"/>
      <c r="J33" s="9"/>
      <c r="K33" s="1">
        <v>2.9369999999999998</v>
      </c>
      <c r="L33" s="1">
        <v>33.287999999999997</v>
      </c>
      <c r="M33" s="1">
        <v>232.2</v>
      </c>
      <c r="N33" s="1">
        <v>681.93</v>
      </c>
      <c r="Q33" s="10"/>
      <c r="S33" s="9"/>
      <c r="T33" s="1">
        <v>2.9289999999999998</v>
      </c>
      <c r="U33" s="1">
        <v>33.896000000000001</v>
      </c>
      <c r="V33" s="1">
        <v>236.66</v>
      </c>
      <c r="W33" s="1">
        <v>693.2</v>
      </c>
      <c r="Z33" s="10"/>
    </row>
    <row r="34" spans="1:26" x14ac:dyDescent="0.3">
      <c r="A34" s="9"/>
      <c r="B34" s="4">
        <v>3.9460000000000002</v>
      </c>
      <c r="C34" s="1">
        <v>43.481000000000002</v>
      </c>
      <c r="D34" s="1">
        <v>309.70999999999998</v>
      </c>
      <c r="E34" s="1">
        <v>1221.58</v>
      </c>
      <c r="H34" s="10"/>
      <c r="J34" s="9"/>
      <c r="K34" s="4">
        <v>3.94</v>
      </c>
      <c r="L34" s="1">
        <v>43.15</v>
      </c>
      <c r="M34" s="1">
        <v>307.27</v>
      </c>
      <c r="N34" s="1">
        <v>1210.28</v>
      </c>
      <c r="Q34" s="10"/>
      <c r="S34" s="9"/>
      <c r="T34" s="4">
        <v>3.931</v>
      </c>
      <c r="U34" s="1">
        <v>43.875</v>
      </c>
      <c r="V34" s="1">
        <v>312.74</v>
      </c>
      <c r="W34" s="1">
        <v>1229.81</v>
      </c>
      <c r="Z34" s="10"/>
    </row>
    <row r="35" spans="1:26" x14ac:dyDescent="0.3">
      <c r="A35" s="9"/>
      <c r="B35" s="1">
        <v>4.9409999999999998</v>
      </c>
      <c r="C35" s="1">
        <v>53.287999999999997</v>
      </c>
      <c r="D35" s="1">
        <v>384.31</v>
      </c>
      <c r="E35" s="1">
        <v>1899.27</v>
      </c>
      <c r="H35" s="10"/>
      <c r="J35" s="9"/>
      <c r="K35" s="1">
        <v>4.9359999999999999</v>
      </c>
      <c r="L35" s="1">
        <v>52.996000000000002</v>
      </c>
      <c r="M35" s="1">
        <v>382.16</v>
      </c>
      <c r="N35" s="1">
        <v>1886.28</v>
      </c>
      <c r="Q35" s="10"/>
      <c r="S35" s="9"/>
      <c r="T35" s="1">
        <v>4.9260000000000002</v>
      </c>
      <c r="U35" s="1">
        <v>53.933</v>
      </c>
      <c r="V35" s="1">
        <v>389.2</v>
      </c>
      <c r="W35" s="1">
        <v>1918.24</v>
      </c>
      <c r="Z35" s="10"/>
    </row>
    <row r="36" spans="1:26" x14ac:dyDescent="0.3">
      <c r="A36" s="9"/>
      <c r="H36" s="10"/>
      <c r="J36" s="9"/>
      <c r="Q36" s="10"/>
      <c r="S36" s="9"/>
      <c r="Z36" s="10"/>
    </row>
    <row r="37" spans="1:26" ht="15" thickBot="1" x14ac:dyDescent="0.35">
      <c r="A37" s="11"/>
      <c r="B37" s="12"/>
      <c r="C37" s="12"/>
      <c r="D37" s="12"/>
      <c r="E37" s="12"/>
      <c r="F37" s="12"/>
      <c r="G37" s="12"/>
      <c r="H37" s="13"/>
      <c r="J37" s="11"/>
      <c r="K37" s="12"/>
      <c r="L37" s="12"/>
      <c r="M37" s="12"/>
      <c r="N37" s="12"/>
      <c r="O37" s="12"/>
      <c r="P37" s="12"/>
      <c r="Q37" s="13"/>
      <c r="S37" s="11"/>
      <c r="T37" s="12"/>
      <c r="U37" s="12"/>
      <c r="V37" s="12"/>
      <c r="W37" s="12"/>
      <c r="X37" s="12"/>
      <c r="Y37" s="12"/>
      <c r="Z37" s="13"/>
    </row>
    <row r="39" spans="1:26" x14ac:dyDescent="0.3">
      <c r="A39" t="s">
        <v>31</v>
      </c>
      <c r="B39">
        <v>24</v>
      </c>
    </row>
    <row r="41" spans="1:26" x14ac:dyDescent="0.3">
      <c r="A41" s="1" t="s">
        <v>33</v>
      </c>
      <c r="B41" s="1">
        <f xml:space="preserve"> 1.0158</f>
        <v>1.0158</v>
      </c>
    </row>
    <row r="42" spans="1:26" x14ac:dyDescent="0.3">
      <c r="A42" s="1" t="s">
        <v>34</v>
      </c>
      <c r="B42" s="1">
        <v>-0.09</v>
      </c>
    </row>
    <row r="44" spans="1:26" x14ac:dyDescent="0.3">
      <c r="A44" s="1" t="s">
        <v>35</v>
      </c>
      <c r="B44" s="1">
        <v>0.97770000000000001</v>
      </c>
    </row>
    <row r="45" spans="1:26" x14ac:dyDescent="0.3">
      <c r="A45" s="1" t="s">
        <v>36</v>
      </c>
      <c r="B45" s="1">
        <v>6.4103000000000003</v>
      </c>
    </row>
    <row r="47" spans="1:26" x14ac:dyDescent="0.3">
      <c r="A47" s="1" t="s">
        <v>37</v>
      </c>
      <c r="B47" s="1">
        <v>1.2848999999999999</v>
      </c>
    </row>
    <row r="48" spans="1:26" x14ac:dyDescent="0.3">
      <c r="A48" s="1" t="s">
        <v>38</v>
      </c>
      <c r="B48" s="1">
        <v>3.6019000000000001</v>
      </c>
    </row>
    <row r="50" spans="1:23" x14ac:dyDescent="0.3">
      <c r="B50" s="17" t="s">
        <v>43</v>
      </c>
      <c r="C50" s="17"/>
      <c r="D50" s="17"/>
      <c r="E50" s="17"/>
      <c r="K50" s="17" t="s">
        <v>44</v>
      </c>
      <c r="L50" s="17"/>
      <c r="M50" s="17"/>
      <c r="N50" s="17"/>
      <c r="T50" s="17" t="s">
        <v>45</v>
      </c>
      <c r="U50" s="17"/>
      <c r="V50" s="17"/>
      <c r="W50" s="17"/>
    </row>
    <row r="51" spans="1:23" x14ac:dyDescent="0.3">
      <c r="B51" s="1" t="s">
        <v>39</v>
      </c>
      <c r="C51" s="1" t="s">
        <v>40</v>
      </c>
      <c r="D51" s="1" t="s">
        <v>41</v>
      </c>
      <c r="E51" s="1" t="s">
        <v>42</v>
      </c>
      <c r="K51" s="1" t="s">
        <v>39</v>
      </c>
      <c r="L51" s="1" t="s">
        <v>40</v>
      </c>
      <c r="M51" s="1" t="s">
        <v>41</v>
      </c>
      <c r="N51" s="1" t="s">
        <v>42</v>
      </c>
      <c r="T51" s="1" t="s">
        <v>39</v>
      </c>
      <c r="U51" s="1" t="s">
        <v>40</v>
      </c>
      <c r="V51" s="1" t="s">
        <v>41</v>
      </c>
      <c r="W51" s="1" t="s">
        <v>42</v>
      </c>
    </row>
    <row r="52" spans="1:23" x14ac:dyDescent="0.3">
      <c r="B52" s="1">
        <f>(B33-$B$42)/$B$41</f>
        <v>2.9848395353416026</v>
      </c>
      <c r="C52" s="1">
        <f>(C33-$B$48)/$B$47</f>
        <v>23.304615145147483</v>
      </c>
      <c r="D52" s="1">
        <f>(D33-$B$45)/$B$44</f>
        <v>232.8318502608162</v>
      </c>
      <c r="E52" s="1"/>
      <c r="K52" s="1">
        <f>(K33-$B$42)/$B$41</f>
        <v>2.9799173065564082</v>
      </c>
      <c r="L52" s="1">
        <f>(L33-$B$48)/$B$47</f>
        <v>23.103821309051288</v>
      </c>
      <c r="M52" s="1">
        <f>(M33-$B$45)/$B$44</f>
        <v>230.9396542906822</v>
      </c>
      <c r="N52" s="1"/>
      <c r="T52" s="1">
        <f>(T33-$B$42)/$B$41</f>
        <v>2.9720417405000981</v>
      </c>
      <c r="U52" s="1">
        <f>(U33-$B$48)/$B$47</f>
        <v>23.577009884037668</v>
      </c>
      <c r="V52" s="1">
        <f>(V33-$B$45)/$B$44</f>
        <v>235.50138079165387</v>
      </c>
      <c r="W52" s="1"/>
    </row>
    <row r="53" spans="1:23" x14ac:dyDescent="0.3">
      <c r="B53" s="1">
        <f t="shared" ref="B53:B54" si="14">(B34-$B$42)/$B$41</f>
        <v>3.9732230754085451</v>
      </c>
      <c r="C53" s="1">
        <f t="shared" ref="C53:C54" si="15">(C34-$B$48)/$B$47</f>
        <v>31.036734376216049</v>
      </c>
      <c r="D53" s="1">
        <f t="shared" ref="D53:D54" si="16">(D34-$B$45)/$B$44</f>
        <v>310.21755139613373</v>
      </c>
      <c r="E53" s="1"/>
      <c r="K53" s="1">
        <f t="shared" ref="K53:K54" si="17">(K34-$B$42)/$B$41</f>
        <v>3.9673164008663124</v>
      </c>
      <c r="L53" s="1">
        <f t="shared" ref="L53:L54" si="18">(L34-$B$48)/$B$47</f>
        <v>30.779126780294188</v>
      </c>
      <c r="M53" s="1">
        <f t="shared" ref="M53:M54" si="19">(M34-$B$45)/$B$44</f>
        <v>307.72189833282192</v>
      </c>
      <c r="N53" s="1"/>
      <c r="T53" s="1">
        <f t="shared" ref="T53:T54" si="20">(T34-$B$42)/$B$41</f>
        <v>3.9584563890529632</v>
      </c>
      <c r="U53" s="1">
        <f t="shared" ref="U53:U54" si="21">(U34-$B$48)/$B$47</f>
        <v>31.343373025138145</v>
      </c>
      <c r="V53" s="1">
        <f t="shared" ref="V53:V54" si="22">(V34-$B$45)/$B$44</f>
        <v>313.31666155262349</v>
      </c>
      <c r="W53" s="1"/>
    </row>
    <row r="54" spans="1:23" x14ac:dyDescent="0.3">
      <c r="A54" t="s">
        <v>2</v>
      </c>
      <c r="B54" s="1">
        <f t="shared" si="14"/>
        <v>4.9527466036621375</v>
      </c>
      <c r="C54" s="1">
        <f t="shared" si="15"/>
        <v>38.669234959919059</v>
      </c>
      <c r="D54" s="1">
        <f t="shared" si="16"/>
        <v>386.51907538099618</v>
      </c>
      <c r="E54" s="1"/>
      <c r="K54" s="1">
        <f t="shared" si="17"/>
        <v>4.9478243748769435</v>
      </c>
      <c r="L54" s="1">
        <f t="shared" si="18"/>
        <v>38.441979920616397</v>
      </c>
      <c r="M54" s="1">
        <f t="shared" si="19"/>
        <v>384.32003682111076</v>
      </c>
      <c r="N54" s="1"/>
      <c r="T54" s="1">
        <f t="shared" si="20"/>
        <v>4.9379799173065564</v>
      </c>
      <c r="U54" s="1">
        <f t="shared" si="21"/>
        <v>39.171219550159549</v>
      </c>
      <c r="V54" s="1">
        <f t="shared" si="22"/>
        <v>391.52060959394493</v>
      </c>
      <c r="W54" s="1"/>
    </row>
  </sheetData>
  <mergeCells count="6">
    <mergeCell ref="B6:G6"/>
    <mergeCell ref="K6:P6"/>
    <mergeCell ref="T6:Y6"/>
    <mergeCell ref="B50:E50"/>
    <mergeCell ref="K50:N50"/>
    <mergeCell ref="T50:W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INA calibracion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SUAZO FONSECA</dc:creator>
  <cp:lastModifiedBy>BRYAN SUAZO FONSECA</cp:lastModifiedBy>
  <dcterms:created xsi:type="dcterms:W3CDTF">2026-04-24T19:36:20Z</dcterms:created>
  <dcterms:modified xsi:type="dcterms:W3CDTF">2026-06-08T05:50:39Z</dcterms:modified>
</cp:coreProperties>
</file>