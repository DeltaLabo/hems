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uaz\OneDrive\Desktop\DELTA\"/>
    </mc:Choice>
  </mc:AlternateContent>
  <xr:revisionPtr revIDLastSave="0" documentId="13_ncr:1_{E1F41E47-79D5-48DF-AE03-ADFBF0D78CAE}" xr6:coauthVersionLast="47" xr6:coauthVersionMax="47" xr10:uidLastSave="{00000000-0000-0000-0000-000000000000}"/>
  <bookViews>
    <workbookView xWindow="-108" yWindow="-108" windowWidth="23256" windowHeight="12456" firstSheet="1" activeTab="1" xr2:uid="{9E19D1FC-02C0-4FFD-9C3E-8ED7CEE0D3EE}"/>
  </bookViews>
  <sheets>
    <sheet name="Datos Generales" sheetId="1" r:id="rId1"/>
    <sheet name="Tensión DC" sheetId="2" r:id="rId2"/>
    <sheet name="Tensión AC" sheetId="3" r:id="rId3"/>
    <sheet name="Corriente DC" sheetId="4" r:id="rId4"/>
    <sheet name="Corriente AC" sheetId="5" r:id="rId5"/>
    <sheet name="Resistencia" sheetId="6" r:id="rId6"/>
    <sheet name="Capacitancia" sheetId="9" r:id="rId7"/>
    <sheet name="Frecuencia" sheetId="10" r:id="rId8"/>
    <sheet name="Welch-Satterthwaite" sheetId="11" r:id="rId9"/>
    <sheet name="Resumen Certificado" sheetId="7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99" i="7" l="1"/>
  <c r="D99" i="7"/>
  <c r="E99" i="7"/>
  <c r="F99" i="7"/>
  <c r="B100" i="7"/>
  <c r="D100" i="7"/>
  <c r="E100" i="7"/>
  <c r="F100" i="7"/>
  <c r="B101" i="7"/>
  <c r="D101" i="7"/>
  <c r="E101" i="7"/>
  <c r="F101" i="7"/>
  <c r="B102" i="7"/>
  <c r="D102" i="7"/>
  <c r="E102" i="7"/>
  <c r="F102" i="7"/>
  <c r="B103" i="7"/>
  <c r="D103" i="7"/>
  <c r="E103" i="7"/>
  <c r="F103" i="7"/>
  <c r="B104" i="7"/>
  <c r="D104" i="7"/>
  <c r="E104" i="7"/>
  <c r="F104" i="7"/>
  <c r="B105" i="7"/>
  <c r="D105" i="7"/>
  <c r="E105" i="7"/>
  <c r="F105" i="7"/>
  <c r="B88" i="7"/>
  <c r="D88" i="7"/>
  <c r="E88" i="7"/>
  <c r="F88" i="7"/>
  <c r="B89" i="7"/>
  <c r="D89" i="7"/>
  <c r="E89" i="7"/>
  <c r="F89" i="7"/>
  <c r="B90" i="7"/>
  <c r="D90" i="7"/>
  <c r="E90" i="7"/>
  <c r="F90" i="7"/>
  <c r="B91" i="7"/>
  <c r="D91" i="7"/>
  <c r="E91" i="7"/>
  <c r="F91" i="7"/>
  <c r="B92" i="7"/>
  <c r="D92" i="7"/>
  <c r="E92" i="7"/>
  <c r="F92" i="7"/>
  <c r="B93" i="7"/>
  <c r="D93" i="7"/>
  <c r="E93" i="7"/>
  <c r="F93" i="7"/>
  <c r="B94" i="7"/>
  <c r="D94" i="7"/>
  <c r="E94" i="7"/>
  <c r="F94" i="7"/>
  <c r="B26" i="11"/>
  <c r="B25" i="11"/>
  <c r="B24" i="11"/>
  <c r="B23" i="11"/>
  <c r="B22" i="11"/>
  <c r="B21" i="11"/>
  <c r="F17" i="11"/>
  <c r="F16" i="11"/>
  <c r="F15" i="11"/>
  <c r="F14" i="11"/>
  <c r="F13" i="11"/>
  <c r="E13" i="11"/>
  <c r="R18" i="10"/>
  <c r="Q18" i="10"/>
  <c r="P18" i="10"/>
  <c r="O18" i="10"/>
  <c r="N18" i="10"/>
  <c r="M18" i="10"/>
  <c r="L18" i="10"/>
  <c r="K18" i="10"/>
  <c r="I18" i="10"/>
  <c r="R17" i="10"/>
  <c r="Q17" i="10"/>
  <c r="P17" i="10"/>
  <c r="O17" i="10"/>
  <c r="N17" i="10"/>
  <c r="M17" i="10"/>
  <c r="L17" i="10"/>
  <c r="K17" i="10"/>
  <c r="I17" i="10"/>
  <c r="R16" i="10"/>
  <c r="Q16" i="10"/>
  <c r="P16" i="10"/>
  <c r="O16" i="10"/>
  <c r="N16" i="10"/>
  <c r="M16" i="10"/>
  <c r="L16" i="10"/>
  <c r="K16" i="10"/>
  <c r="I16" i="10"/>
  <c r="R15" i="10"/>
  <c r="Q15" i="10"/>
  <c r="P15" i="10"/>
  <c r="O15" i="10"/>
  <c r="N15" i="10"/>
  <c r="M15" i="10"/>
  <c r="L15" i="10"/>
  <c r="K15" i="10"/>
  <c r="I15" i="10"/>
  <c r="R14" i="10"/>
  <c r="Q14" i="10"/>
  <c r="P14" i="10"/>
  <c r="O14" i="10"/>
  <c r="N14" i="10"/>
  <c r="M14" i="10"/>
  <c r="L14" i="10"/>
  <c r="K14" i="10"/>
  <c r="I14" i="10"/>
  <c r="R13" i="10"/>
  <c r="Q13" i="10"/>
  <c r="P13" i="10"/>
  <c r="O13" i="10"/>
  <c r="N13" i="10"/>
  <c r="M13" i="10"/>
  <c r="L13" i="10"/>
  <c r="K13" i="10"/>
  <c r="I13" i="10"/>
  <c r="R12" i="10"/>
  <c r="Q12" i="10"/>
  <c r="P12" i="10"/>
  <c r="O12" i="10"/>
  <c r="N12" i="10"/>
  <c r="M12" i="10"/>
  <c r="L12" i="10"/>
  <c r="K12" i="10"/>
  <c r="I12" i="10"/>
  <c r="R18" i="9"/>
  <c r="Q18" i="9"/>
  <c r="P18" i="9"/>
  <c r="O18" i="9"/>
  <c r="N18" i="9"/>
  <c r="M18" i="9"/>
  <c r="L18" i="9"/>
  <c r="K18" i="9"/>
  <c r="I18" i="9"/>
  <c r="R17" i="9"/>
  <c r="Q17" i="9"/>
  <c r="P17" i="9"/>
  <c r="O17" i="9"/>
  <c r="N17" i="9"/>
  <c r="M17" i="9"/>
  <c r="L17" i="9"/>
  <c r="K17" i="9"/>
  <c r="I17" i="9"/>
  <c r="R16" i="9"/>
  <c r="Q16" i="9"/>
  <c r="P16" i="9"/>
  <c r="O16" i="9"/>
  <c r="N16" i="9"/>
  <c r="M16" i="9"/>
  <c r="L16" i="9"/>
  <c r="K16" i="9"/>
  <c r="I16" i="9"/>
  <c r="R15" i="9"/>
  <c r="Q15" i="9"/>
  <c r="P15" i="9"/>
  <c r="O15" i="9"/>
  <c r="N15" i="9"/>
  <c r="M15" i="9"/>
  <c r="L15" i="9"/>
  <c r="K15" i="9"/>
  <c r="I15" i="9"/>
  <c r="R14" i="9"/>
  <c r="Q14" i="9"/>
  <c r="P14" i="9"/>
  <c r="O14" i="9"/>
  <c r="N14" i="9"/>
  <c r="M14" i="9"/>
  <c r="L14" i="9"/>
  <c r="K14" i="9"/>
  <c r="I14" i="9"/>
  <c r="R13" i="9"/>
  <c r="Q13" i="9"/>
  <c r="P13" i="9"/>
  <c r="O13" i="9"/>
  <c r="N13" i="9"/>
  <c r="M13" i="9"/>
  <c r="L13" i="9"/>
  <c r="K13" i="9"/>
  <c r="I13" i="9"/>
  <c r="R12" i="9"/>
  <c r="Q12" i="9"/>
  <c r="P12" i="9"/>
  <c r="O12" i="9"/>
  <c r="N12" i="9"/>
  <c r="M12" i="9"/>
  <c r="L12" i="9"/>
  <c r="K12" i="9"/>
  <c r="I12" i="9"/>
  <c r="E37" i="2"/>
  <c r="G72" i="7"/>
  <c r="F72" i="7"/>
  <c r="E72" i="7"/>
  <c r="D72" i="7"/>
  <c r="C72" i="7"/>
  <c r="B72" i="7"/>
  <c r="A72" i="7"/>
  <c r="G71" i="7"/>
  <c r="F71" i="7"/>
  <c r="E71" i="7"/>
  <c r="D71" i="7"/>
  <c r="C71" i="7"/>
  <c r="B71" i="7"/>
  <c r="A71" i="7"/>
  <c r="G70" i="7"/>
  <c r="F70" i="7"/>
  <c r="E70" i="7"/>
  <c r="D70" i="7"/>
  <c r="C70" i="7"/>
  <c r="B70" i="7"/>
  <c r="A70" i="7"/>
  <c r="G69" i="7"/>
  <c r="F69" i="7"/>
  <c r="E69" i="7"/>
  <c r="D69" i="7"/>
  <c r="C69" i="7"/>
  <c r="B69" i="7"/>
  <c r="A69" i="7"/>
  <c r="G68" i="7"/>
  <c r="F68" i="7"/>
  <c r="E68" i="7"/>
  <c r="D68" i="7"/>
  <c r="C68" i="7"/>
  <c r="B68" i="7"/>
  <c r="A68" i="7"/>
  <c r="G67" i="7"/>
  <c r="F67" i="7"/>
  <c r="E67" i="7"/>
  <c r="D67" i="7"/>
  <c r="C67" i="7"/>
  <c r="B67" i="7"/>
  <c r="A67" i="7"/>
  <c r="G66" i="7"/>
  <c r="F66" i="7"/>
  <c r="E66" i="7"/>
  <c r="D66" i="7"/>
  <c r="C66" i="7"/>
  <c r="B66" i="7"/>
  <c r="A66" i="7"/>
  <c r="G65" i="7"/>
  <c r="F65" i="7"/>
  <c r="E65" i="7"/>
  <c r="D65" i="7"/>
  <c r="C65" i="7"/>
  <c r="B65" i="7"/>
  <c r="A65" i="7"/>
  <c r="G64" i="7"/>
  <c r="F64" i="7"/>
  <c r="E64" i="7"/>
  <c r="D64" i="7"/>
  <c r="C64" i="7"/>
  <c r="B64" i="7"/>
  <c r="A64" i="7"/>
  <c r="G63" i="7"/>
  <c r="F63" i="7"/>
  <c r="E63" i="7"/>
  <c r="D63" i="7"/>
  <c r="C63" i="7"/>
  <c r="B63" i="7"/>
  <c r="A63" i="7"/>
  <c r="H59" i="7"/>
  <c r="G59" i="7"/>
  <c r="F59" i="7"/>
  <c r="E59" i="7"/>
  <c r="D59" i="7"/>
  <c r="C59" i="7"/>
  <c r="B59" i="7"/>
  <c r="A59" i="7"/>
  <c r="H58" i="7"/>
  <c r="G58" i="7"/>
  <c r="F58" i="7"/>
  <c r="E58" i="7"/>
  <c r="D58" i="7"/>
  <c r="C58" i="7"/>
  <c r="B58" i="7"/>
  <c r="A58" i="7"/>
  <c r="H57" i="7"/>
  <c r="G57" i="7"/>
  <c r="F57" i="7"/>
  <c r="E57" i="7"/>
  <c r="D57" i="7"/>
  <c r="C57" i="7"/>
  <c r="B57" i="7"/>
  <c r="A57" i="7"/>
  <c r="H56" i="7"/>
  <c r="G56" i="7"/>
  <c r="F56" i="7"/>
  <c r="E56" i="7"/>
  <c r="D56" i="7"/>
  <c r="C56" i="7"/>
  <c r="B56" i="7"/>
  <c r="A56" i="7"/>
  <c r="H55" i="7"/>
  <c r="G55" i="7"/>
  <c r="F55" i="7"/>
  <c r="E55" i="7"/>
  <c r="D55" i="7"/>
  <c r="C55" i="7"/>
  <c r="B55" i="7"/>
  <c r="A55" i="7"/>
  <c r="H54" i="7"/>
  <c r="G54" i="7"/>
  <c r="F54" i="7"/>
  <c r="E54" i="7"/>
  <c r="D54" i="7"/>
  <c r="C54" i="7"/>
  <c r="B54" i="7"/>
  <c r="A54" i="7"/>
  <c r="H53" i="7"/>
  <c r="G53" i="7"/>
  <c r="F53" i="7"/>
  <c r="E53" i="7"/>
  <c r="D53" i="7"/>
  <c r="C53" i="7"/>
  <c r="B53" i="7"/>
  <c r="A53" i="7"/>
  <c r="H52" i="7"/>
  <c r="G52" i="7"/>
  <c r="F52" i="7"/>
  <c r="E52" i="7"/>
  <c r="D52" i="7"/>
  <c r="C52" i="7"/>
  <c r="B52" i="7"/>
  <c r="A52" i="7"/>
  <c r="H51" i="7"/>
  <c r="G51" i="7"/>
  <c r="F51" i="7"/>
  <c r="E51" i="7"/>
  <c r="D51" i="7"/>
  <c r="C51" i="7"/>
  <c r="B51" i="7"/>
  <c r="A51" i="7"/>
  <c r="H50" i="7"/>
  <c r="G50" i="7"/>
  <c r="F50" i="7"/>
  <c r="E50" i="7"/>
  <c r="D50" i="7"/>
  <c r="C50" i="7"/>
  <c r="B50" i="7"/>
  <c r="A50" i="7"/>
  <c r="G46" i="7"/>
  <c r="C46" i="7"/>
  <c r="B46" i="7"/>
  <c r="A46" i="7"/>
  <c r="G45" i="7"/>
  <c r="C45" i="7"/>
  <c r="B45" i="7"/>
  <c r="A45" i="7"/>
  <c r="G44" i="7"/>
  <c r="C44" i="7"/>
  <c r="B44" i="7"/>
  <c r="A44" i="7"/>
  <c r="G43" i="7"/>
  <c r="C43" i="7"/>
  <c r="B43" i="7"/>
  <c r="A43" i="7"/>
  <c r="G42" i="7"/>
  <c r="C42" i="7"/>
  <c r="B42" i="7"/>
  <c r="A42" i="7"/>
  <c r="G41" i="7"/>
  <c r="C41" i="7"/>
  <c r="B41" i="7"/>
  <c r="A41" i="7"/>
  <c r="G40" i="7"/>
  <c r="C40" i="7"/>
  <c r="B40" i="7"/>
  <c r="A40" i="7"/>
  <c r="G39" i="7"/>
  <c r="C39" i="7"/>
  <c r="B39" i="7"/>
  <c r="A39" i="7"/>
  <c r="G38" i="7"/>
  <c r="C38" i="7"/>
  <c r="B38" i="7"/>
  <c r="A38" i="7"/>
  <c r="G37" i="7"/>
  <c r="C37" i="7"/>
  <c r="B37" i="7"/>
  <c r="A37" i="7"/>
  <c r="H33" i="7"/>
  <c r="D33" i="7"/>
  <c r="C33" i="7"/>
  <c r="B33" i="7"/>
  <c r="A33" i="7"/>
  <c r="H32" i="7"/>
  <c r="D32" i="7"/>
  <c r="C32" i="7"/>
  <c r="B32" i="7"/>
  <c r="A32" i="7"/>
  <c r="H31" i="7"/>
  <c r="D31" i="7"/>
  <c r="C31" i="7"/>
  <c r="B31" i="7"/>
  <c r="A31" i="7"/>
  <c r="H30" i="7"/>
  <c r="D30" i="7"/>
  <c r="C30" i="7"/>
  <c r="B30" i="7"/>
  <c r="A30" i="7"/>
  <c r="H29" i="7"/>
  <c r="D29" i="7"/>
  <c r="C29" i="7"/>
  <c r="B29" i="7"/>
  <c r="A29" i="7"/>
  <c r="H28" i="7"/>
  <c r="D28" i="7"/>
  <c r="C28" i="7"/>
  <c r="B28" i="7"/>
  <c r="A28" i="7"/>
  <c r="H27" i="7"/>
  <c r="D27" i="7"/>
  <c r="C27" i="7"/>
  <c r="B27" i="7"/>
  <c r="A27" i="7"/>
  <c r="H26" i="7"/>
  <c r="D26" i="7"/>
  <c r="C26" i="7"/>
  <c r="B26" i="7"/>
  <c r="A26" i="7"/>
  <c r="H25" i="7"/>
  <c r="D25" i="7"/>
  <c r="C25" i="7"/>
  <c r="B25" i="7"/>
  <c r="A25" i="7"/>
  <c r="H24" i="7"/>
  <c r="D24" i="7"/>
  <c r="C24" i="7"/>
  <c r="B24" i="7"/>
  <c r="A24" i="7"/>
  <c r="G20" i="7"/>
  <c r="C20" i="7"/>
  <c r="B20" i="7"/>
  <c r="A20" i="7"/>
  <c r="G19" i="7"/>
  <c r="C19" i="7"/>
  <c r="B19" i="7"/>
  <c r="A19" i="7"/>
  <c r="G18" i="7"/>
  <c r="C18" i="7"/>
  <c r="B18" i="7"/>
  <c r="A18" i="7"/>
  <c r="G17" i="7"/>
  <c r="C17" i="7"/>
  <c r="B17" i="7"/>
  <c r="A17" i="7"/>
  <c r="G16" i="7"/>
  <c r="C16" i="7"/>
  <c r="B16" i="7"/>
  <c r="A16" i="7"/>
  <c r="G15" i="7"/>
  <c r="C15" i="7"/>
  <c r="B15" i="7"/>
  <c r="A15" i="7"/>
  <c r="G14" i="7"/>
  <c r="C14" i="7"/>
  <c r="B14" i="7"/>
  <c r="A14" i="7"/>
  <c r="G13" i="7"/>
  <c r="C13" i="7"/>
  <c r="B13" i="7"/>
  <c r="A13" i="7"/>
  <c r="G12" i="7"/>
  <c r="C12" i="7"/>
  <c r="B12" i="7"/>
  <c r="A12" i="7"/>
  <c r="G11" i="7"/>
  <c r="C11" i="7"/>
  <c r="B11" i="7"/>
  <c r="A11" i="7"/>
  <c r="D7" i="7"/>
  <c r="B7" i="7"/>
  <c r="D6" i="7"/>
  <c r="B6" i="7"/>
  <c r="D5" i="7"/>
  <c r="B5" i="7"/>
  <c r="D4" i="7"/>
  <c r="B4" i="7"/>
  <c r="R21" i="6"/>
  <c r="Q21" i="6"/>
  <c r="P21" i="6"/>
  <c r="O21" i="6"/>
  <c r="N21" i="6"/>
  <c r="M21" i="6"/>
  <c r="L21" i="6"/>
  <c r="K21" i="6"/>
  <c r="I21" i="6"/>
  <c r="R20" i="6"/>
  <c r="Q20" i="6"/>
  <c r="P20" i="6"/>
  <c r="O20" i="6"/>
  <c r="N20" i="6"/>
  <c r="M20" i="6"/>
  <c r="L20" i="6"/>
  <c r="K20" i="6"/>
  <c r="I20" i="6"/>
  <c r="R19" i="6"/>
  <c r="Q19" i="6"/>
  <c r="P19" i="6"/>
  <c r="O19" i="6"/>
  <c r="N19" i="6"/>
  <c r="M19" i="6"/>
  <c r="L19" i="6"/>
  <c r="K19" i="6"/>
  <c r="I19" i="6"/>
  <c r="R18" i="6"/>
  <c r="Q18" i="6"/>
  <c r="P18" i="6"/>
  <c r="O18" i="6"/>
  <c r="N18" i="6"/>
  <c r="M18" i="6"/>
  <c r="L18" i="6"/>
  <c r="K18" i="6"/>
  <c r="I18" i="6"/>
  <c r="R17" i="6"/>
  <c r="Q17" i="6"/>
  <c r="P17" i="6"/>
  <c r="O17" i="6"/>
  <c r="N17" i="6"/>
  <c r="M17" i="6"/>
  <c r="L17" i="6"/>
  <c r="K17" i="6"/>
  <c r="I17" i="6"/>
  <c r="Q16" i="6"/>
  <c r="P16" i="6"/>
  <c r="R16" i="6" s="1"/>
  <c r="O16" i="6"/>
  <c r="N16" i="6"/>
  <c r="M16" i="6"/>
  <c r="L16" i="6"/>
  <c r="K16" i="6"/>
  <c r="I16" i="6"/>
  <c r="R15" i="6"/>
  <c r="P15" i="6"/>
  <c r="Q15" i="6" s="1"/>
  <c r="O15" i="6"/>
  <c r="N15" i="6"/>
  <c r="M15" i="6"/>
  <c r="L15" i="6"/>
  <c r="K15" i="6"/>
  <c r="I15" i="6"/>
  <c r="R14" i="6"/>
  <c r="P14" i="6"/>
  <c r="Q14" i="6" s="1"/>
  <c r="O14" i="6"/>
  <c r="N14" i="6"/>
  <c r="M14" i="6"/>
  <c r="L14" i="6"/>
  <c r="K14" i="6"/>
  <c r="I14" i="6"/>
  <c r="P13" i="6"/>
  <c r="Q13" i="6" s="1"/>
  <c r="O13" i="6"/>
  <c r="N13" i="6"/>
  <c r="M13" i="6"/>
  <c r="L13" i="6"/>
  <c r="K13" i="6"/>
  <c r="I13" i="6"/>
  <c r="P12" i="6"/>
  <c r="R12" i="6" s="1"/>
  <c r="O12" i="6"/>
  <c r="N12" i="6"/>
  <c r="M12" i="6"/>
  <c r="L12" i="6"/>
  <c r="K12" i="6"/>
  <c r="I12" i="6"/>
  <c r="S21" i="5"/>
  <c r="R21" i="5"/>
  <c r="Q21" i="5"/>
  <c r="P21" i="5"/>
  <c r="O21" i="5"/>
  <c r="N21" i="5"/>
  <c r="M21" i="5"/>
  <c r="L21" i="5"/>
  <c r="J21" i="5"/>
  <c r="S20" i="5"/>
  <c r="R20" i="5"/>
  <c r="Q20" i="5"/>
  <c r="P20" i="5"/>
  <c r="O20" i="5"/>
  <c r="N20" i="5"/>
  <c r="M20" i="5"/>
  <c r="L20" i="5"/>
  <c r="J20" i="5"/>
  <c r="S19" i="5"/>
  <c r="R19" i="5"/>
  <c r="Q19" i="5"/>
  <c r="P19" i="5"/>
  <c r="O19" i="5"/>
  <c r="N19" i="5"/>
  <c r="M19" i="5"/>
  <c r="L19" i="5"/>
  <c r="J19" i="5"/>
  <c r="S18" i="5"/>
  <c r="R18" i="5"/>
  <c r="Q18" i="5"/>
  <c r="P18" i="5"/>
  <c r="O18" i="5"/>
  <c r="N18" i="5"/>
  <c r="M18" i="5"/>
  <c r="L18" i="5"/>
  <c r="J18" i="5"/>
  <c r="S17" i="5"/>
  <c r="R17" i="5"/>
  <c r="Q17" i="5"/>
  <c r="P17" i="5"/>
  <c r="O17" i="5"/>
  <c r="N17" i="5"/>
  <c r="M17" i="5"/>
  <c r="L17" i="5"/>
  <c r="J17" i="5"/>
  <c r="S16" i="5"/>
  <c r="R16" i="5"/>
  <c r="Q16" i="5"/>
  <c r="P16" i="5"/>
  <c r="O16" i="5"/>
  <c r="N16" i="5"/>
  <c r="M16" i="5"/>
  <c r="L16" i="5"/>
  <c r="J16" i="5"/>
  <c r="S15" i="5"/>
  <c r="R15" i="5"/>
  <c r="Q15" i="5"/>
  <c r="P15" i="5"/>
  <c r="O15" i="5"/>
  <c r="N15" i="5"/>
  <c r="M15" i="5"/>
  <c r="L15" i="5"/>
  <c r="J15" i="5"/>
  <c r="S14" i="5"/>
  <c r="R14" i="5"/>
  <c r="Q14" i="5"/>
  <c r="P14" i="5"/>
  <c r="O14" i="5"/>
  <c r="N14" i="5"/>
  <c r="M14" i="5"/>
  <c r="L14" i="5"/>
  <c r="J14" i="5"/>
  <c r="S13" i="5"/>
  <c r="Q13" i="5"/>
  <c r="R13" i="5" s="1"/>
  <c r="P13" i="5"/>
  <c r="O13" i="5"/>
  <c r="N13" i="5"/>
  <c r="M13" i="5"/>
  <c r="L13" i="5"/>
  <c r="J13" i="5"/>
  <c r="Q12" i="5"/>
  <c r="S12" i="5" s="1"/>
  <c r="P12" i="5"/>
  <c r="O12" i="5"/>
  <c r="N12" i="5"/>
  <c r="M12" i="5"/>
  <c r="L12" i="5"/>
  <c r="J12" i="5"/>
  <c r="O21" i="4"/>
  <c r="N21" i="4"/>
  <c r="M21" i="4"/>
  <c r="L21" i="4"/>
  <c r="I21" i="4"/>
  <c r="O20" i="4"/>
  <c r="N20" i="4"/>
  <c r="M20" i="4"/>
  <c r="L20" i="4"/>
  <c r="I20" i="4"/>
  <c r="O19" i="4"/>
  <c r="N19" i="4"/>
  <c r="M19" i="4"/>
  <c r="L19" i="4"/>
  <c r="I19" i="4"/>
  <c r="O18" i="4"/>
  <c r="N18" i="4"/>
  <c r="M18" i="4"/>
  <c r="L18" i="4"/>
  <c r="I18" i="4"/>
  <c r="O17" i="4"/>
  <c r="N17" i="4"/>
  <c r="M17" i="4"/>
  <c r="L17" i="4"/>
  <c r="I17" i="4"/>
  <c r="O16" i="4"/>
  <c r="N16" i="4"/>
  <c r="M16" i="4"/>
  <c r="L16" i="4"/>
  <c r="I16" i="4"/>
  <c r="O15" i="4"/>
  <c r="N15" i="4"/>
  <c r="M15" i="4"/>
  <c r="L15" i="4"/>
  <c r="I15" i="4"/>
  <c r="O14" i="4"/>
  <c r="N14" i="4"/>
  <c r="M14" i="4"/>
  <c r="L14" i="4"/>
  <c r="I14" i="4"/>
  <c r="O13" i="4"/>
  <c r="N13" i="4"/>
  <c r="M13" i="4"/>
  <c r="L13" i="4"/>
  <c r="I13" i="4"/>
  <c r="O12" i="4"/>
  <c r="N12" i="4"/>
  <c r="M12" i="4"/>
  <c r="L12" i="4"/>
  <c r="I12" i="4"/>
  <c r="Q21" i="3"/>
  <c r="R21" i="3" s="1"/>
  <c r="P21" i="3"/>
  <c r="O21" i="3"/>
  <c r="N21" i="3"/>
  <c r="M21" i="3"/>
  <c r="J21" i="3"/>
  <c r="L21" i="3" s="1"/>
  <c r="F33" i="7" s="1"/>
  <c r="P20" i="3"/>
  <c r="O20" i="3"/>
  <c r="N20" i="3"/>
  <c r="M20" i="3"/>
  <c r="J20" i="3"/>
  <c r="E32" i="7" s="1"/>
  <c r="P19" i="3"/>
  <c r="O19" i="3"/>
  <c r="N19" i="3"/>
  <c r="M19" i="3"/>
  <c r="J19" i="3"/>
  <c r="E31" i="7" s="1"/>
  <c r="P18" i="3"/>
  <c r="O18" i="3"/>
  <c r="N18" i="3"/>
  <c r="M18" i="3"/>
  <c r="J18" i="3"/>
  <c r="Q18" i="3" s="1"/>
  <c r="P17" i="3"/>
  <c r="O17" i="3"/>
  <c r="N17" i="3"/>
  <c r="M17" i="3"/>
  <c r="J17" i="3"/>
  <c r="Q17" i="3" s="1"/>
  <c r="P16" i="3"/>
  <c r="O16" i="3"/>
  <c r="N16" i="3"/>
  <c r="M16" i="3"/>
  <c r="J16" i="3"/>
  <c r="L16" i="3" s="1"/>
  <c r="F28" i="7" s="1"/>
  <c r="P15" i="3"/>
  <c r="O15" i="3"/>
  <c r="N15" i="3"/>
  <c r="M15" i="3"/>
  <c r="J15" i="3"/>
  <c r="E27" i="7" s="1"/>
  <c r="P14" i="3"/>
  <c r="O14" i="3"/>
  <c r="N14" i="3"/>
  <c r="M14" i="3"/>
  <c r="J14" i="3"/>
  <c r="L14" i="3" s="1"/>
  <c r="F26" i="7" s="1"/>
  <c r="P13" i="3"/>
  <c r="O13" i="3"/>
  <c r="N13" i="3"/>
  <c r="M13" i="3"/>
  <c r="J13" i="3"/>
  <c r="E25" i="7" s="1"/>
  <c r="P12" i="3"/>
  <c r="O12" i="3"/>
  <c r="N12" i="3"/>
  <c r="M12" i="3"/>
  <c r="J12" i="3"/>
  <c r="O21" i="2"/>
  <c r="N21" i="2"/>
  <c r="M21" i="2"/>
  <c r="L21" i="2"/>
  <c r="I21" i="2"/>
  <c r="O20" i="2"/>
  <c r="N20" i="2"/>
  <c r="M20" i="2"/>
  <c r="L20" i="2"/>
  <c r="I20" i="2"/>
  <c r="O19" i="2"/>
  <c r="N19" i="2"/>
  <c r="M19" i="2"/>
  <c r="L19" i="2"/>
  <c r="I19" i="2"/>
  <c r="O18" i="2"/>
  <c r="N18" i="2"/>
  <c r="M18" i="2"/>
  <c r="L18" i="2"/>
  <c r="I18" i="2"/>
  <c r="O17" i="2"/>
  <c r="N17" i="2"/>
  <c r="M17" i="2"/>
  <c r="L17" i="2"/>
  <c r="I17" i="2"/>
  <c r="O16" i="2"/>
  <c r="N16" i="2"/>
  <c r="M16" i="2"/>
  <c r="L16" i="2"/>
  <c r="I16" i="2"/>
  <c r="O15" i="2"/>
  <c r="N15" i="2"/>
  <c r="M15" i="2"/>
  <c r="L15" i="2"/>
  <c r="I15" i="2"/>
  <c r="O14" i="2"/>
  <c r="N14" i="2"/>
  <c r="M14" i="2"/>
  <c r="L14" i="2"/>
  <c r="I14" i="2"/>
  <c r="O13" i="2"/>
  <c r="N13" i="2"/>
  <c r="M13" i="2"/>
  <c r="L13" i="2"/>
  <c r="I13" i="2"/>
  <c r="O12" i="2"/>
  <c r="N12" i="2"/>
  <c r="M12" i="2"/>
  <c r="L12" i="2"/>
  <c r="I12" i="2"/>
  <c r="Q19" i="3" l="1"/>
  <c r="S19" i="3" s="1"/>
  <c r="G31" i="7" s="1"/>
  <c r="R17" i="3"/>
  <c r="S17" i="3"/>
  <c r="G29" i="7" s="1"/>
  <c r="R18" i="3"/>
  <c r="S18" i="3"/>
  <c r="G30" i="7" s="1"/>
  <c r="L18" i="3"/>
  <c r="F30" i="7" s="1"/>
  <c r="E30" i="7"/>
  <c r="S21" i="3"/>
  <c r="G33" i="7" s="1"/>
  <c r="Q20" i="3"/>
  <c r="L19" i="3"/>
  <c r="F31" i="7" s="1"/>
  <c r="E29" i="7"/>
  <c r="L20" i="3"/>
  <c r="F32" i="7" s="1"/>
  <c r="L17" i="3"/>
  <c r="F29" i="7" s="1"/>
  <c r="E33" i="7"/>
  <c r="Q16" i="3"/>
  <c r="R16" i="3" s="1"/>
  <c r="S16" i="3" s="1"/>
  <c r="G28" i="7" s="1"/>
  <c r="E26" i="7"/>
  <c r="Q14" i="3"/>
  <c r="R14" i="3" s="1"/>
  <c r="E28" i="7"/>
  <c r="L15" i="3"/>
  <c r="F27" i="7" s="1"/>
  <c r="Q15" i="3"/>
  <c r="R15" i="3" s="1"/>
  <c r="S15" i="3" s="1"/>
  <c r="G27" i="7" s="1"/>
  <c r="Q13" i="3"/>
  <c r="R13" i="3" s="1"/>
  <c r="S13" i="3" s="1"/>
  <c r="G25" i="7" s="1"/>
  <c r="L13" i="3"/>
  <c r="F25" i="7" s="1"/>
  <c r="R19" i="3"/>
  <c r="Q12" i="3"/>
  <c r="R12" i="3" s="1"/>
  <c r="S12" i="3" s="1"/>
  <c r="G24" i="7" s="1"/>
  <c r="L12" i="3"/>
  <c r="F24" i="7" s="1"/>
  <c r="E24" i="7"/>
  <c r="D16" i="7"/>
  <c r="P17" i="2"/>
  <c r="K17" i="2"/>
  <c r="E16" i="7" s="1"/>
  <c r="D17" i="7"/>
  <c r="P18" i="2"/>
  <c r="Q18" i="2" s="1"/>
  <c r="K18" i="2"/>
  <c r="E17" i="7" s="1"/>
  <c r="D18" i="7"/>
  <c r="P19" i="2"/>
  <c r="K19" i="2"/>
  <c r="E18" i="7" s="1"/>
  <c r="D19" i="7"/>
  <c r="P20" i="2"/>
  <c r="K20" i="2"/>
  <c r="E19" i="7" s="1"/>
  <c r="D20" i="7"/>
  <c r="P21" i="2"/>
  <c r="K21" i="2"/>
  <c r="E20" i="7" s="1"/>
  <c r="D37" i="7"/>
  <c r="P12" i="4"/>
  <c r="Q12" i="4" s="1"/>
  <c r="K12" i="4"/>
  <c r="E37" i="7" s="1"/>
  <c r="D38" i="7"/>
  <c r="P13" i="4"/>
  <c r="Q13" i="4" s="1"/>
  <c r="K13" i="4"/>
  <c r="E38" i="7" s="1"/>
  <c r="D39" i="7"/>
  <c r="P14" i="4"/>
  <c r="Q14" i="4" s="1"/>
  <c r="K14" i="4"/>
  <c r="E39" i="7" s="1"/>
  <c r="D40" i="7"/>
  <c r="P15" i="4"/>
  <c r="K15" i="4"/>
  <c r="E40" i="7" s="1"/>
  <c r="D41" i="7"/>
  <c r="P16" i="4"/>
  <c r="Q16" i="4" s="1"/>
  <c r="K16" i="4"/>
  <c r="E41" i="7" s="1"/>
  <c r="D42" i="7"/>
  <c r="P17" i="4"/>
  <c r="K17" i="4"/>
  <c r="E42" i="7" s="1"/>
  <c r="D43" i="7"/>
  <c r="P18" i="4"/>
  <c r="K18" i="4"/>
  <c r="E43" i="7" s="1"/>
  <c r="D44" i="7"/>
  <c r="P19" i="4"/>
  <c r="K19" i="4"/>
  <c r="E44" i="7" s="1"/>
  <c r="D45" i="7"/>
  <c r="P20" i="4"/>
  <c r="K20" i="4"/>
  <c r="E45" i="7" s="1"/>
  <c r="D46" i="7"/>
  <c r="P21" i="4"/>
  <c r="K21" i="4"/>
  <c r="E46" i="7" s="1"/>
  <c r="D15" i="7"/>
  <c r="P16" i="2"/>
  <c r="Q16" i="2" s="1"/>
  <c r="K16" i="2"/>
  <c r="E15" i="7" s="1"/>
  <c r="R17" i="2"/>
  <c r="F16" i="7" s="1"/>
  <c r="Q17" i="2"/>
  <c r="D14" i="7"/>
  <c r="P15" i="2"/>
  <c r="Q15" i="2" s="1"/>
  <c r="K15" i="2"/>
  <c r="E14" i="7" s="1"/>
  <c r="D13" i="7"/>
  <c r="P14" i="2"/>
  <c r="Q14" i="2" s="1"/>
  <c r="R14" i="2" s="1"/>
  <c r="F13" i="7" s="1"/>
  <c r="K14" i="2"/>
  <c r="E13" i="7" s="1"/>
  <c r="D12" i="7"/>
  <c r="P13" i="2"/>
  <c r="K13" i="2"/>
  <c r="E12" i="7" s="1"/>
  <c r="K12" i="2"/>
  <c r="E11" i="7" s="1"/>
  <c r="D11" i="7"/>
  <c r="P12" i="2"/>
  <c r="Q12" i="2" s="1"/>
  <c r="R12" i="2" s="1"/>
  <c r="F11" i="7" s="1"/>
  <c r="R18" i="2"/>
  <c r="F17" i="7" s="1"/>
  <c r="R13" i="6"/>
  <c r="Q12" i="6"/>
  <c r="R12" i="5"/>
  <c r="Q13" i="2"/>
  <c r="R20" i="3" l="1"/>
  <c r="S20" i="3"/>
  <c r="G32" i="7" s="1"/>
  <c r="S14" i="3"/>
  <c r="G26" i="7" s="1"/>
  <c r="R15" i="2"/>
  <c r="F14" i="7" s="1"/>
  <c r="R14" i="4"/>
  <c r="F39" i="7" s="1"/>
  <c r="R16" i="4"/>
  <c r="F41" i="7" s="1"/>
  <c r="R13" i="4"/>
  <c r="F38" i="7" s="1"/>
  <c r="R12" i="4"/>
  <c r="F37" i="7" s="1"/>
  <c r="R21" i="2"/>
  <c r="F20" i="7" s="1"/>
  <c r="Q21" i="2"/>
  <c r="R20" i="2"/>
  <c r="F19" i="7" s="1"/>
  <c r="Q20" i="2"/>
  <c r="R19" i="2"/>
  <c r="F18" i="7" s="1"/>
  <c r="Q19" i="2"/>
  <c r="R21" i="4"/>
  <c r="F46" i="7" s="1"/>
  <c r="Q21" i="4"/>
  <c r="R20" i="4"/>
  <c r="F45" i="7" s="1"/>
  <c r="Q20" i="4"/>
  <c r="R19" i="4"/>
  <c r="F44" i="7" s="1"/>
  <c r="Q19" i="4"/>
  <c r="R18" i="4"/>
  <c r="F43" i="7" s="1"/>
  <c r="Q18" i="4"/>
  <c r="R17" i="4"/>
  <c r="F42" i="7" s="1"/>
  <c r="Q17" i="4"/>
  <c r="Q15" i="4"/>
  <c r="R15" i="4" s="1"/>
  <c r="F40" i="7" s="1"/>
  <c r="R16" i="2"/>
  <c r="F15" i="7" s="1"/>
  <c r="R13" i="2"/>
  <c r="F12" i="7" s="1"/>
</calcChain>
</file>

<file path=xl/sharedStrings.xml><?xml version="1.0" encoding="utf-8"?>
<sst xmlns="http://schemas.openxmlformats.org/spreadsheetml/2006/main" count="553" uniqueCount="237">
  <si>
    <t>PLANTILLA PARA CALIBRACIÓN DE MULTÍMETROS DIGITALES</t>
  </si>
  <si>
    <t>Cálculo de Incertidumbres según GUM / EA-4/02 / INM Colombia / CEM España</t>
  </si>
  <si>
    <t>DATOS DEL CERTIFICADO</t>
  </si>
  <si>
    <t>N° Certificado:</t>
  </si>
  <si>
    <t>Fecha de Calibración:</t>
  </si>
  <si>
    <t>Laboratorio:</t>
  </si>
  <si>
    <t>Laboratorio Delta</t>
  </si>
  <si>
    <t>Responsable:</t>
  </si>
  <si>
    <t>Bryan Suazo/ Felipe Cespedes</t>
  </si>
  <si>
    <t>DATOS DEL INSTRUMENTO BAJO CALIBRACIÓN (IBC)</t>
  </si>
  <si>
    <t>Marca:</t>
  </si>
  <si>
    <t>Arduino</t>
  </si>
  <si>
    <t>Modelo:</t>
  </si>
  <si>
    <t>INA219</t>
  </si>
  <si>
    <t>N° Serie:</t>
  </si>
  <si>
    <t>Código Interno:</t>
  </si>
  <si>
    <t>Resolución (dígitos):</t>
  </si>
  <si>
    <t>Tipo:</t>
  </si>
  <si>
    <t>Propietario:</t>
  </si>
  <si>
    <t>Ubicación:</t>
  </si>
  <si>
    <t>DATOS DEL PATRÓN (CALIBRADOR MULTIFUNCIÓN)</t>
  </si>
  <si>
    <t>Fecha Certificado:</t>
  </si>
  <si>
    <t>Próxima Calibración:</t>
  </si>
  <si>
    <t>Laboratorio que Calibró:</t>
  </si>
  <si>
    <t>CONDICIONES AMBIENTALES</t>
  </si>
  <si>
    <t>Temperatura (°C):</t>
  </si>
  <si>
    <t>Humedad Relativa (%):</t>
  </si>
  <si>
    <t>Rango Temp. Permitido:</t>
  </si>
  <si>
    <t>18 - 28</t>
  </si>
  <si>
    <t>Rango HR Permitido:</t>
  </si>
  <si>
    <t>≤ 70</t>
  </si>
  <si>
    <t>INSTRUCCIONES DE USO</t>
  </si>
  <si>
    <t>1. Complete los datos generales en esta hoja (celdas amarillas).</t>
  </si>
  <si>
    <t>2. Vaya a cada hoja de magnitud según necesite calibrar:</t>
  </si>
  <si>
    <t xml:space="preserve">   • Tensión DC, Tensión AC, Corriente DC, Corriente AC</t>
  </si>
  <si>
    <t xml:space="preserve">   • Resistencia, Capacitancia, Frecuencia</t>
  </si>
  <si>
    <t>3. Ingrese los valores del patrón y las 5 lecturas del IBC en las celdas amarillas.</t>
  </si>
  <si>
    <t>4. Las incertidumbres se calcularán automáticamente.</t>
  </si>
  <si>
    <t>5. Use la hoja 'Welch-Satterthwaite' para calcular el factor k exacto si tiene pocos grados de libertad.</t>
  </si>
  <si>
    <t>6. Consulte la hoja 'Resumen Certificado' para el informe final.</t>
  </si>
  <si>
    <t>NOTA SOBRE WELCH-SATTERTHWAITE</t>
  </si>
  <si>
    <t>La hoja 'Welch-Satterthwaite' permite calcular los grados efectivos de libertad (νeff)</t>
  </si>
  <si>
    <t>para determinar el factor de cobertura k correcto según la distribución t de Student.</t>
  </si>
  <si>
    <t>Esto es especialmente importante cuando el número de repeticiones es bajo (&lt; 10)</t>
  </si>
  <si>
    <t>o cuando una componente de incertidumbre domina sobre las demás.</t>
  </si>
  <si>
    <t>CALIBRACIÓN EN TENSIÓN CONTINUA (DC)</t>
  </si>
  <si>
    <t>PARÁMETROS DEL PATRÓN</t>
  </si>
  <si>
    <t>Especificación del fabricante (ppm de lectura):</t>
  </si>
  <si>
    <t>Especificación del fabricante (µV offset):</t>
  </si>
  <si>
    <t>Incertidumbre certificado patrón U (del certificado):</t>
  </si>
  <si>
    <t>V</t>
  </si>
  <si>
    <t>Factor de cobertura k del certificado:</t>
  </si>
  <si>
    <t>TABLA DE MEDICIONES Y CÁLCULO DE INCERTIDUMBRES INA 3</t>
  </si>
  <si>
    <t>Rango</t>
  </si>
  <si>
    <t>Valor Patrón</t>
  </si>
  <si>
    <t>Unidad</t>
  </si>
  <si>
    <t>Lect. 1</t>
  </si>
  <si>
    <t>Lect. 2</t>
  </si>
  <si>
    <t>Lect. 3</t>
  </si>
  <si>
    <t>Lect. 4</t>
  </si>
  <si>
    <t>Lect. 5</t>
  </si>
  <si>
    <t>Promedio</t>
  </si>
  <si>
    <t>Resolución</t>
  </si>
  <si>
    <t>Error (E)</t>
  </si>
  <si>
    <t>u(rep)</t>
  </si>
  <si>
    <t>u(res)</t>
  </si>
  <si>
    <t>u(cert)</t>
  </si>
  <si>
    <t>u(espec)</t>
  </si>
  <si>
    <t>u_c</t>
  </si>
  <si>
    <t>k</t>
  </si>
  <si>
    <t>U</t>
  </si>
  <si>
    <t>(Vs)</t>
  </si>
  <si>
    <t>(Vx1)</t>
  </si>
  <si>
    <t>(Vx2)</t>
  </si>
  <si>
    <t>(Vx3)</t>
  </si>
  <si>
    <t>(Vx4)</t>
  </si>
  <si>
    <t>(Vx5)</t>
  </si>
  <si>
    <t>(V̄x)</t>
  </si>
  <si>
    <t>(dig)</t>
  </si>
  <si>
    <t>(V̄x - Vs)</t>
  </si>
  <si>
    <t>Tipo A</t>
  </si>
  <si>
    <t>Tipo B</t>
  </si>
  <si>
    <t>Comb.</t>
  </si>
  <si>
    <t>Expand.</t>
  </si>
  <si>
    <t>LEYENDA Y FÓRMULAS UTILIZADAS</t>
  </si>
  <si>
    <t>u(rep) - Incertidumbre por repetibilidad (Tipo A):</t>
  </si>
  <si>
    <t>u(V̄x) = s(Vx) / √n</t>
  </si>
  <si>
    <t>u(res) - Incertidumbre por resolución (Tipo B):</t>
  </si>
  <si>
    <t>u(δVx) = resolución / (2·√3)</t>
  </si>
  <si>
    <t>u(cert) - Incertidumbre del certificado del patrón:</t>
  </si>
  <si>
    <t>u(Vs) = U_certificado / k</t>
  </si>
  <si>
    <t>u(espec) - Incertidumbre por especificaciones del patrón:</t>
  </si>
  <si>
    <t>u(δVs) = (ppm·|Vs| + offset) / √3</t>
  </si>
  <si>
    <t>u_c - Incertidumbre combinada:</t>
  </si>
  <si>
    <t>uc = √(u_rep² + u_res² + u_cert² + u_espec²)</t>
  </si>
  <si>
    <t>U - Incertidumbre expandida:</t>
  </si>
  <si>
    <t>U = k · uc (k=2 para 95.45%)</t>
  </si>
  <si>
    <t>NOTA: Las celdas en amarillo son de entrada. Ingrese los valores del patrón, las 5 lecturas del IBC y la resolución.</t>
  </si>
  <si>
    <t>CÁLCULO AVANZADO DEL FACTOR k (OPCIONAL)</t>
  </si>
  <si>
    <t>Para un cálculo más preciso del factor k usando la fórmula de Welch-Satterthwaite:</t>
  </si>
  <si>
    <t>Grados de libertad para incertidumbres Tipo B (asumiendo 5% de inseguridad):</t>
  </si>
  <si>
    <t>Número de repeticiones (n):</t>
  </si>
  <si>
    <t>Grados de libertad Tipo A (n-1):</t>
  </si>
  <si>
    <t>Nota: Si una fuente de incertidumbre rectangular es dominante (&gt; 50% de u_c²),</t>
  </si>
  <si>
    <t>usar k ≈ 1.65 para 95% de probabilidad de cobertura en lugar de k=2.</t>
  </si>
  <si>
    <t>CALIBRACIÓN EN TENSIÓN ALTERNA (AC)</t>
  </si>
  <si>
    <t>Incertidumbre certificado patrón U:</t>
  </si>
  <si>
    <t>TABLA DE MEDICIONES Y CÁLCULO DE INCERTIDUMBRES</t>
  </si>
  <si>
    <t>Frecuencia</t>
  </si>
  <si>
    <t>(Hz)</t>
  </si>
  <si>
    <t>CALIBRACIÓN EN CORRIENTE CONTINUA (DC)</t>
  </si>
  <si>
    <t>Especificación del fabricante (µA offset):</t>
  </si>
  <si>
    <t>A</t>
  </si>
  <si>
    <t>TABLA DE MEDICIONES Y CÁLCULO DE INCERTIDUMBRES  INA3</t>
  </si>
  <si>
    <t>10 mA</t>
  </si>
  <si>
    <t>mA</t>
  </si>
  <si>
    <t>250 mA</t>
  </si>
  <si>
    <t>500 mA</t>
  </si>
  <si>
    <t>1,0 A</t>
  </si>
  <si>
    <t>2,0 A</t>
  </si>
  <si>
    <t>CALIBRACIÓN EN CORRIENTE ALTERNA (AC)</t>
  </si>
  <si>
    <t>CALIBRACIÓN EN RESISTENCIA (Ω)</t>
  </si>
  <si>
    <t>Especificación del fabricante (mΩ offset):</t>
  </si>
  <si>
    <t>Ω</t>
  </si>
  <si>
    <t>500 Ω</t>
  </si>
  <si>
    <t>5 kΩ</t>
  </si>
  <si>
    <t>50 kΩ</t>
  </si>
  <si>
    <t>500 kΩ</t>
  </si>
  <si>
    <t>5 MΩ</t>
  </si>
  <si>
    <t>CALIBRACIÓN EN CAPACITANCIA (F)</t>
  </si>
  <si>
    <t>Especificación del fabricante (pF offset):</t>
  </si>
  <si>
    <t>F</t>
  </si>
  <si>
    <t>(Cs)</t>
  </si>
  <si>
    <t>(Cx1)</t>
  </si>
  <si>
    <t>(Cx2)</t>
  </si>
  <si>
    <t>(Cx3)</t>
  </si>
  <si>
    <t>(Cx4)</t>
  </si>
  <si>
    <t>(Cx5)</t>
  </si>
  <si>
    <t>(C̄x)</t>
  </si>
  <si>
    <t>(C̄x - Cs)</t>
  </si>
  <si>
    <t>1 nF</t>
  </si>
  <si>
    <t>10 nF</t>
  </si>
  <si>
    <t>100 nF</t>
  </si>
  <si>
    <t>1 µF</t>
  </si>
  <si>
    <t>10 µF</t>
  </si>
  <si>
    <t>100 µF</t>
  </si>
  <si>
    <t>1000 µF</t>
  </si>
  <si>
    <t>CALIBRACIÓN EN FRECUENCIA (Hz)</t>
  </si>
  <si>
    <t>Especificación del fabricante (Hz offset):</t>
  </si>
  <si>
    <t>Hz</t>
  </si>
  <si>
    <t>(fs)</t>
  </si>
  <si>
    <t>(fx1)</t>
  </si>
  <si>
    <t>(fx2)</t>
  </si>
  <si>
    <t>(fx3)</t>
  </si>
  <si>
    <t>(fx4)</t>
  </si>
  <si>
    <t>(fx5)</t>
  </si>
  <si>
    <t>(f̄x)</t>
  </si>
  <si>
    <t>(f̄x - fs)</t>
  </si>
  <si>
    <t>10 Hz</t>
  </si>
  <si>
    <t>100 Hz</t>
  </si>
  <si>
    <t>1 kHz</t>
  </si>
  <si>
    <t>10 kHz</t>
  </si>
  <si>
    <t>100 kHz</t>
  </si>
  <si>
    <t>1 MHz</t>
  </si>
  <si>
    <t>10 MHz</t>
  </si>
  <si>
    <t>CÁLCULO DE GRADOS EFECTIVOS DE LIBERTAD - FÓRMULA DE WELCH-SATTERTHWAITE</t>
  </si>
  <si>
    <t>Para determinar el factor de cobertura k exacto según GUM (ISO/IEC Guide 98-3)</t>
  </si>
  <si>
    <t>FÓRMULA DE WELCH-SATTERTHWAITE</t>
  </si>
  <si>
    <t>νeff = uc⁴ / Σ(ui⁴/νi)</t>
  </si>
  <si>
    <t>Donde:</t>
  </si>
  <si>
    <t>νeff = Grados efectivos de libertad | uc = Incertidumbre combinada | ui = Incertidumbre componente i | νi = Grados de libertad de componente i</t>
  </si>
  <si>
    <t>DATOS DE ENTRADA (Ingrese los valores de una medición específica)</t>
  </si>
  <si>
    <t>Componente</t>
  </si>
  <si>
    <t>Símbolo</t>
  </si>
  <si>
    <t>Valor u(xi)</t>
  </si>
  <si>
    <t>Tipo</t>
  </si>
  <si>
    <t>ν (g.l.)</t>
  </si>
  <si>
    <t>u⁴/ν</t>
  </si>
  <si>
    <t>n (repeticiones):</t>
  </si>
  <si>
    <t>Repetibilidad</t>
  </si>
  <si>
    <t>B</t>
  </si>
  <si>
    <t>Certificado Patrón</t>
  </si>
  <si>
    <t>Especificaciones Patrón</t>
  </si>
  <si>
    <t>Otros (si aplica)</t>
  </si>
  <si>
    <t>u(otros)</t>
  </si>
  <si>
    <t>RESULTADOS</t>
  </si>
  <si>
    <t>Suma de u⁴/ν:</t>
  </si>
  <si>
    <t>Incertidumbre combinada uc:</t>
  </si>
  <si>
    <t>uc⁴:</t>
  </si>
  <si>
    <t>Grados efectivos de libertad νeff:</t>
  </si>
  <si>
    <t>νeff redondeado (hacia abajo):</t>
  </si>
  <si>
    <t>Factor de cobertura k (95.45%):</t>
  </si>
  <si>
    <t>TABLA DE REFERENCIA: Factor t de Student (95.45% de confianza)</t>
  </si>
  <si>
    <t>t (k)</t>
  </si>
  <si>
    <t>∞</t>
  </si>
  <si>
    <t>EJEMPLO DE USO</t>
  </si>
  <si>
    <t>1. Copie los valores de incertidumbre de cualquier hoja de medición (columnas L, M, N, O)</t>
  </si>
  <si>
    <t>2. Pegue cada valor en la columna C (Valor u(xi)) correspondiente</t>
  </si>
  <si>
    <t>3. Verifique el número de repeticiones en H12</t>
  </si>
  <si>
    <t>4. El factor k calculado aparecerá en B26</t>
  </si>
  <si>
    <t>NOTA IMPORTANTE:</t>
  </si>
  <si>
    <t>- Para incertidumbres Tipo B, se asume ν = 200 (5% de incertidumbre relativa en la estimación)</t>
  </si>
  <si>
    <t>- Si νeff ≥ 100, se puede usar k = 2 directamente</t>
  </si>
  <si>
    <t>INTEGRACIÓN CON HOJAS DE MEDICIÓN</t>
  </si>
  <si>
    <t>Para usar el factor k calculado por Welch-Satterthwaite en las hojas de medición:</t>
  </si>
  <si>
    <t>1. En la columna Q de la hoja de medición, reemplace el valor fijo '2' por:</t>
  </si>
  <si>
    <t xml:space="preserve">   ='Welch-Satterthwaite'!B26</t>
  </si>
  <si>
    <t>RESUMEN DE RESULTADOS PARA CERTIFICADO DE CALIBRACIÓN</t>
  </si>
  <si>
    <t>DATOS DEL INSTRUMENTO</t>
  </si>
  <si>
    <t>Fecha:</t>
  </si>
  <si>
    <t>Marca IBC:</t>
  </si>
  <si>
    <t>Resolución:</t>
  </si>
  <si>
    <t>Humedad (%):</t>
  </si>
  <si>
    <t>RESULTADOS - TENSIÓN CONTINUA (DC)</t>
  </si>
  <si>
    <t>Indicación IBC</t>
  </si>
  <si>
    <t>Error</t>
  </si>
  <si>
    <t>U (k=2)</t>
  </si>
  <si>
    <t>RESULTADOS - TENSIÓN ALTERNA (AC)</t>
  </si>
  <si>
    <t>Indicación</t>
  </si>
  <si>
    <t>RESULTADOS - CORRIENTE CONTINUA (DC)</t>
  </si>
  <si>
    <t>RESULTADOS - CORRIENTE ALTERNA (AC)</t>
  </si>
  <si>
    <t>RESULTADOS - RESISTENCIA (Ω)</t>
  </si>
  <si>
    <t>DECLARACIÓN DE INCERTIDUMBRE</t>
  </si>
  <si>
    <t>La incertidumbre expandida reportada (U) se obtiene multiplicando la incertidumbre típica combinada por el factor de cobertura k=2,</t>
  </si>
  <si>
    <t>lo que corresponde a una probabilidad de cobertura de aproximadamente 95% para una distribución normal.</t>
  </si>
  <si>
    <t>Las fuentes de incertidumbre consideradas son:</t>
  </si>
  <si>
    <t>• Repetibilidad de las lecturas del IBC (Tipo A)</t>
  </si>
  <si>
    <t>• Resolución del IBC (Tipo B, distribución rectangular)</t>
  </si>
  <si>
    <t>• Incertidumbre del certificado de calibración del patrón</t>
  </si>
  <si>
    <t>• Especificaciones del fabricante del patrón (deriva, linealidad, temperatura, etc.)</t>
  </si>
  <si>
    <t>Basado en: Guía INM Colombia para multímetros digitales 4 5/6 (2022) y Procedimiento EL-001 CEM España (2020).</t>
  </si>
  <si>
    <t>RESULTADOS - CAPACITANCIA (F)</t>
  </si>
  <si>
    <t>RESULTADOS - FRECUENCIA (Hz)</t>
  </si>
  <si>
    <t>NOTA SOBRE EL FACTOR DE COBERTURA</t>
  </si>
  <si>
    <t>El factor k=2 se utiliza cuando los grados efectivos de libertad (νeff) son ≥ 100.</t>
  </si>
  <si>
    <t>Para mediciones con pocos grados de libertad, consulte la hoja 'Welch-Satterthwaite' para calcular el factor k correcto.</t>
  </si>
  <si>
    <t>Referencia: GUM (ISO/IEC Guide 98-3), EA-4/02, Guía INM Colombia (2022), Procedimiento EL-001 CEM España (2020).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</si>
</sst>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3" fillId="0" borderId="0" xfId="0" applyFont="1"/>
    <xf numFmtId="0" fontId="0" fillId="5" borderId="0" xfId="0" applyFill="1"/>
    <xf numFmtId="0" fontId="0" fillId="5" borderId="1" xfId="0" applyFill="1" applyBorder="1"/>
    <xf numFmtId="0" fontId="0" fillId="5" borderId="2" xfId="0" applyFill="1" applyBorder="1"/>
    <xf numFmtId="0" fontId="0" fillId="0" borderId="0" xfId="0" applyAlignment="1">
      <alignment wrapText="1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7" borderId="0" xfId="0" applyFont="1" applyFill="1" applyAlignment="1">
      <alignment horizontal="center" wrapText="1"/>
    </xf>
    <xf numFmtId="0" fontId="6" fillId="8" borderId="0" xfId="0" applyFont="1" applyFill="1" applyAlignment="1">
      <alignment horizontal="center"/>
    </xf>
    <xf numFmtId="164" fontId="0" fillId="0" borderId="0" xfId="0" applyNumberFormat="1"/>
    <xf numFmtId="11" fontId="0" fillId="0" borderId="0" xfId="0" applyNumberFormat="1"/>
    <xf numFmtId="18" fontId="0" fillId="5" borderId="0" xfId="0" applyNumberFormat="1" applyFill="1"/>
    <xf numFmtId="2" fontId="0" fillId="0" borderId="0" xfId="0" applyNumberFormat="1"/>
    <xf numFmtId="0" fontId="1" fillId="10" borderId="0" xfId="0" applyFont="1" applyFill="1"/>
    <xf numFmtId="0" fontId="1" fillId="13" borderId="0" xfId="0" applyFont="1" applyFill="1"/>
    <xf numFmtId="0" fontId="0" fillId="17" borderId="0" xfId="0" applyFill="1"/>
    <xf numFmtId="11" fontId="0" fillId="17" borderId="0" xfId="0" applyNumberFormat="1" applyFill="1"/>
    <xf numFmtId="3" fontId="0" fillId="0" borderId="0" xfId="0" applyNumberFormat="1"/>
    <xf numFmtId="165" fontId="0" fillId="0" borderId="0" xfId="0" applyNumberFormat="1"/>
    <xf numFmtId="165" fontId="0" fillId="17" borderId="0" xfId="0" applyNumberFormat="1" applyFill="1"/>
    <xf numFmtId="2" fontId="0" fillId="17" borderId="0" xfId="0" applyNumberFormat="1" applyFill="1"/>
    <xf numFmtId="166" fontId="0" fillId="17" borderId="0" xfId="0" applyNumberFormat="1" applyFill="1"/>
    <xf numFmtId="1" fontId="0" fillId="17" borderId="0" xfId="0" applyNumberFormat="1" applyFill="1"/>
    <xf numFmtId="1" fontId="0" fillId="0" borderId="0" xfId="0" applyNumberFormat="1"/>
    <xf numFmtId="0" fontId="8" fillId="0" borderId="0" xfId="0" applyFont="1"/>
    <xf numFmtId="2" fontId="1" fillId="10" borderId="0" xfId="0" applyNumberFormat="1" applyFont="1" applyFill="1"/>
    <xf numFmtId="1" fontId="1" fillId="10" borderId="0" xfId="0" applyNumberFormat="1" applyFont="1" applyFill="1"/>
    <xf numFmtId="0" fontId="1" fillId="7" borderId="3" xfId="0" applyFont="1" applyFill="1" applyBorder="1"/>
    <xf numFmtId="0" fontId="0" fillId="0" borderId="3" xfId="0" applyBorder="1"/>
    <xf numFmtId="0" fontId="1" fillId="17" borderId="0" xfId="0" applyFont="1" applyFill="1"/>
    <xf numFmtId="166" fontId="0" fillId="0" borderId="0" xfId="0" applyNumberFormat="1"/>
    <xf numFmtId="0" fontId="3" fillId="0" borderId="0" xfId="0" applyFont="1"/>
    <xf numFmtId="0" fontId="0" fillId="0" borderId="0" xfId="0"/>
    <xf numFmtId="0" fontId="5" fillId="2" borderId="0" xfId="0" applyFont="1" applyFill="1" applyAlignment="1">
      <alignment horizontal="center"/>
    </xf>
    <xf numFmtId="0" fontId="0" fillId="2" borderId="0" xfId="0" applyFill="1"/>
    <xf numFmtId="0" fontId="4" fillId="4" borderId="0" xfId="0" applyFont="1" applyFill="1"/>
    <xf numFmtId="0" fontId="0" fillId="4" borderId="0" xfId="0" applyFill="1"/>
    <xf numFmtId="0" fontId="4" fillId="6" borderId="0" xfId="0" applyFont="1" applyFill="1"/>
    <xf numFmtId="0" fontId="0" fillId="6" borderId="0" xfId="0" applyFill="1"/>
    <xf numFmtId="0" fontId="7" fillId="9" borderId="0" xfId="0" applyFont="1" applyFill="1"/>
    <xf numFmtId="0" fontId="1" fillId="0" borderId="0" xfId="0" applyFont="1"/>
    <xf numFmtId="0" fontId="4" fillId="14" borderId="0" xfId="0" applyFont="1" applyFill="1"/>
    <xf numFmtId="0" fontId="0" fillId="14" borderId="0" xfId="0" applyFill="1"/>
    <xf numFmtId="0" fontId="1" fillId="16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/>
    <xf numFmtId="0" fontId="1" fillId="4" borderId="0" xfId="0" applyFont="1" applyFill="1"/>
    <xf numFmtId="0" fontId="7" fillId="16" borderId="0" xfId="0" applyFont="1" applyFill="1"/>
    <xf numFmtId="0" fontId="3" fillId="0" borderId="0" xfId="0" applyFont="1" applyAlignment="1">
      <alignment horizontal="center"/>
    </xf>
    <xf numFmtId="0" fontId="4" fillId="11" borderId="0" xfId="0" applyFont="1" applyFill="1"/>
    <xf numFmtId="0" fontId="0" fillId="11" borderId="0" xfId="0" applyFill="1"/>
    <xf numFmtId="0" fontId="1" fillId="6" borderId="0" xfId="0" applyFont="1" applyFill="1"/>
    <xf numFmtId="0" fontId="4" fillId="12" borderId="0" xfId="0" applyFont="1" applyFill="1"/>
    <xf numFmtId="0" fontId="0" fillId="12" borderId="0" xfId="0" applyFill="1"/>
    <xf numFmtId="0" fontId="3" fillId="15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DA11-D02C-4EC0-9FBA-AA2CD878277E}">
  <dimension ref="A1:H38"/>
  <sheetViews>
    <sheetView topLeftCell="A76" workbookViewId="0">
      <selection activeCell="K12" sqref="K12"/>
    </sheetView>
  </sheetViews>
  <sheetFormatPr baseColWidth="10" defaultColWidth="11.44140625" defaultRowHeight="14.4" x14ac:dyDescent="0.3"/>
  <cols>
    <col min="1" max="1" width="34.33203125" customWidth="1"/>
    <col min="2" max="2" width="28.5546875" customWidth="1"/>
    <col min="3" max="3" width="34.33203125" customWidth="1"/>
    <col min="4" max="4" width="28.5546875" customWidth="1"/>
  </cols>
  <sheetData>
    <row r="1" spans="1:8" ht="30" customHeight="1" x14ac:dyDescent="0.4">
      <c r="A1" s="46" t="s">
        <v>0</v>
      </c>
      <c r="B1" s="36"/>
      <c r="C1" s="36"/>
      <c r="D1" s="36"/>
      <c r="E1" s="36"/>
      <c r="F1" s="36"/>
      <c r="G1" s="36"/>
      <c r="H1" s="36"/>
    </row>
    <row r="2" spans="1:8" x14ac:dyDescent="0.3">
      <c r="A2" s="47" t="s">
        <v>1</v>
      </c>
      <c r="B2" s="48"/>
      <c r="C2" s="48"/>
      <c r="D2" s="48"/>
      <c r="E2" s="48"/>
      <c r="F2" s="48"/>
      <c r="G2" s="48"/>
      <c r="H2" s="48"/>
    </row>
    <row r="4" spans="1:8" x14ac:dyDescent="0.3">
      <c r="A4" s="37" t="s">
        <v>2</v>
      </c>
      <c r="B4" s="38"/>
      <c r="C4" s="38"/>
      <c r="D4" s="38"/>
    </row>
    <row r="5" spans="1:8" x14ac:dyDescent="0.3">
      <c r="A5" s="1" t="s">
        <v>3</v>
      </c>
      <c r="B5" s="4"/>
      <c r="C5" s="1" t="s">
        <v>4</v>
      </c>
      <c r="D5" s="4"/>
    </row>
    <row r="6" spans="1:8" x14ac:dyDescent="0.3">
      <c r="A6" s="1" t="s">
        <v>5</v>
      </c>
      <c r="B6" s="5" t="s">
        <v>6</v>
      </c>
      <c r="C6" s="1" t="s">
        <v>7</v>
      </c>
      <c r="D6" s="5" t="s">
        <v>8</v>
      </c>
    </row>
    <row r="8" spans="1:8" x14ac:dyDescent="0.3">
      <c r="A8" s="37" t="s">
        <v>9</v>
      </c>
      <c r="B8" s="38"/>
      <c r="C8" s="38"/>
      <c r="D8" s="38"/>
    </row>
    <row r="9" spans="1:8" x14ac:dyDescent="0.3">
      <c r="A9" s="1" t="s">
        <v>10</v>
      </c>
      <c r="B9" s="4" t="s">
        <v>11</v>
      </c>
      <c r="C9" s="1" t="s">
        <v>12</v>
      </c>
      <c r="D9" s="4" t="s">
        <v>13</v>
      </c>
    </row>
    <row r="10" spans="1:8" x14ac:dyDescent="0.3">
      <c r="A10" s="1" t="s">
        <v>14</v>
      </c>
      <c r="B10" s="5"/>
      <c r="C10" s="1" t="s">
        <v>15</v>
      </c>
      <c r="D10" s="5"/>
    </row>
    <row r="11" spans="1:8" x14ac:dyDescent="0.3">
      <c r="A11" s="1" t="s">
        <v>16</v>
      </c>
      <c r="B11" s="5"/>
      <c r="C11" s="1" t="s">
        <v>17</v>
      </c>
      <c r="D11" s="5"/>
    </row>
    <row r="12" spans="1:8" x14ac:dyDescent="0.3">
      <c r="A12" s="1" t="s">
        <v>18</v>
      </c>
      <c r="B12" s="5"/>
      <c r="C12" s="1" t="s">
        <v>19</v>
      </c>
      <c r="D12" s="5"/>
    </row>
    <row r="14" spans="1:8" x14ac:dyDescent="0.3">
      <c r="A14" s="37" t="s">
        <v>20</v>
      </c>
      <c r="B14" s="49"/>
      <c r="C14" s="49"/>
      <c r="D14" s="49"/>
    </row>
    <row r="15" spans="1:8" x14ac:dyDescent="0.3">
      <c r="A15" s="1" t="s">
        <v>10</v>
      </c>
      <c r="B15" s="4"/>
      <c r="C15" s="1" t="s">
        <v>12</v>
      </c>
      <c r="D15" s="4"/>
    </row>
    <row r="16" spans="1:8" x14ac:dyDescent="0.3">
      <c r="A16" s="1" t="s">
        <v>14</v>
      </c>
      <c r="B16" s="5"/>
      <c r="C16" s="1" t="s">
        <v>3</v>
      </c>
      <c r="D16" s="5"/>
    </row>
    <row r="17" spans="1:4" x14ac:dyDescent="0.3">
      <c r="A17" s="1" t="s">
        <v>21</v>
      </c>
      <c r="B17" s="5"/>
      <c r="C17" s="1" t="s">
        <v>22</v>
      </c>
      <c r="D17" s="5"/>
    </row>
    <row r="18" spans="1:4" x14ac:dyDescent="0.3">
      <c r="A18" s="1" t="s">
        <v>23</v>
      </c>
      <c r="B18" s="5"/>
      <c r="D18" s="5"/>
    </row>
    <row r="20" spans="1:4" x14ac:dyDescent="0.3">
      <c r="A20" s="37" t="s">
        <v>24</v>
      </c>
      <c r="B20" s="49"/>
      <c r="C20" s="49"/>
      <c r="D20" s="49"/>
    </row>
    <row r="21" spans="1:4" x14ac:dyDescent="0.3">
      <c r="A21" s="1" t="s">
        <v>25</v>
      </c>
      <c r="B21" s="4"/>
      <c r="C21" s="1" t="s">
        <v>26</v>
      </c>
      <c r="D21" s="4"/>
    </row>
    <row r="22" spans="1:4" x14ac:dyDescent="0.3">
      <c r="A22" s="1" t="s">
        <v>27</v>
      </c>
      <c r="B22" t="s">
        <v>28</v>
      </c>
      <c r="C22" s="1" t="s">
        <v>29</v>
      </c>
      <c r="D22" t="s">
        <v>30</v>
      </c>
    </row>
    <row r="24" spans="1:4" x14ac:dyDescent="0.3">
      <c r="A24" s="39" t="s">
        <v>31</v>
      </c>
      <c r="B24" s="40"/>
      <c r="C24" s="40"/>
      <c r="D24" s="40"/>
    </row>
    <row r="25" spans="1:4" ht="28.8" x14ac:dyDescent="0.3">
      <c r="A25" s="6" t="s">
        <v>32</v>
      </c>
    </row>
    <row r="26" spans="1:4" ht="28.8" x14ac:dyDescent="0.3">
      <c r="A26" s="6" t="s">
        <v>33</v>
      </c>
    </row>
    <row r="27" spans="1:4" ht="28.8" x14ac:dyDescent="0.3">
      <c r="A27" s="6" t="s">
        <v>34</v>
      </c>
    </row>
    <row r="28" spans="1:4" ht="28.8" x14ac:dyDescent="0.3">
      <c r="A28" s="6" t="s">
        <v>35</v>
      </c>
    </row>
    <row r="29" spans="1:4" ht="28.8" x14ac:dyDescent="0.3">
      <c r="A29" s="6" t="s">
        <v>36</v>
      </c>
    </row>
    <row r="30" spans="1:4" x14ac:dyDescent="0.3">
      <c r="A30" t="s">
        <v>37</v>
      </c>
    </row>
    <row r="31" spans="1:4" x14ac:dyDescent="0.3">
      <c r="A31" t="s">
        <v>38</v>
      </c>
    </row>
    <row r="32" spans="1:4" x14ac:dyDescent="0.3">
      <c r="A32" t="s">
        <v>39</v>
      </c>
    </row>
    <row r="34" spans="1:4" x14ac:dyDescent="0.3">
      <c r="A34" s="45" t="s">
        <v>40</v>
      </c>
      <c r="B34" s="34"/>
      <c r="C34" s="34"/>
      <c r="D34" s="34"/>
    </row>
    <row r="35" spans="1:4" x14ac:dyDescent="0.3">
      <c r="A35" t="s">
        <v>41</v>
      </c>
    </row>
    <row r="36" spans="1:4" x14ac:dyDescent="0.3">
      <c r="A36" t="s">
        <v>42</v>
      </c>
    </row>
    <row r="37" spans="1:4" x14ac:dyDescent="0.3">
      <c r="A37" t="s">
        <v>43</v>
      </c>
    </row>
    <row r="38" spans="1:4" x14ac:dyDescent="0.3">
      <c r="A38" t="s">
        <v>44</v>
      </c>
    </row>
  </sheetData>
  <mergeCells count="8">
    <mergeCell ref="A24:D24"/>
    <mergeCell ref="A34:D34"/>
    <mergeCell ref="A1:H1"/>
    <mergeCell ref="A2:H2"/>
    <mergeCell ref="A4:D4"/>
    <mergeCell ref="A8:D8"/>
    <mergeCell ref="A14:D14"/>
    <mergeCell ref="A20:D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668DF-E5F1-4A16-91D5-172F83860D5A}">
  <dimension ref="A1:R40"/>
  <sheetViews>
    <sheetView tabSelected="1" workbookViewId="0">
      <selection activeCell="I23" sqref="I23"/>
    </sheetView>
  </sheetViews>
  <sheetFormatPr baseColWidth="10" defaultColWidth="11.44140625" defaultRowHeight="14.4" x14ac:dyDescent="0.3"/>
  <cols>
    <col min="1" max="1" width="15.33203125" customWidth="1"/>
    <col min="2" max="3" width="17.109375" customWidth="1"/>
    <col min="4" max="8" width="15.33203125" customWidth="1"/>
    <col min="9" max="11" width="18.109375" customWidth="1"/>
    <col min="12" max="18" width="15.33203125" customWidth="1"/>
  </cols>
  <sheetData>
    <row r="1" spans="1:18" ht="18" x14ac:dyDescent="0.35">
      <c r="A1" s="35" t="s">
        <v>45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3" spans="1:18" x14ac:dyDescent="0.3">
      <c r="A3" s="37" t="s">
        <v>46</v>
      </c>
      <c r="B3" s="38"/>
      <c r="C3" s="38"/>
      <c r="D3" s="38"/>
      <c r="E3" s="38"/>
      <c r="F3" s="38"/>
    </row>
    <row r="4" spans="1:18" x14ac:dyDescent="0.3">
      <c r="A4" t="s">
        <v>47</v>
      </c>
      <c r="C4" s="3">
        <v>22</v>
      </c>
    </row>
    <row r="5" spans="1:18" x14ac:dyDescent="0.3">
      <c r="A5" t="s">
        <v>48</v>
      </c>
      <c r="C5" s="3">
        <v>39</v>
      </c>
    </row>
    <row r="6" spans="1:18" x14ac:dyDescent="0.3">
      <c r="A6" t="s">
        <v>49</v>
      </c>
      <c r="C6" s="3">
        <v>3.3000000000000003E-5</v>
      </c>
      <c r="D6" t="s">
        <v>50</v>
      </c>
    </row>
    <row r="7" spans="1:18" x14ac:dyDescent="0.3">
      <c r="A7" t="s">
        <v>51</v>
      </c>
      <c r="C7" s="3">
        <v>2</v>
      </c>
    </row>
    <row r="9" spans="1:18" x14ac:dyDescent="0.3">
      <c r="A9" s="37" t="s">
        <v>52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</row>
    <row r="10" spans="1:18" x14ac:dyDescent="0.3">
      <c r="A10" s="9" t="s">
        <v>53</v>
      </c>
      <c r="B10" s="9" t="s">
        <v>54</v>
      </c>
      <c r="C10" s="9" t="s">
        <v>55</v>
      </c>
      <c r="D10" s="9" t="s">
        <v>56</v>
      </c>
      <c r="E10" s="9" t="s">
        <v>57</v>
      </c>
      <c r="F10" s="9" t="s">
        <v>58</v>
      </c>
      <c r="G10" s="9" t="s">
        <v>59</v>
      </c>
      <c r="H10" s="9" t="s">
        <v>60</v>
      </c>
      <c r="I10" s="9" t="s">
        <v>61</v>
      </c>
      <c r="J10" s="9" t="s">
        <v>62</v>
      </c>
      <c r="K10" s="9" t="s">
        <v>63</v>
      </c>
      <c r="L10" s="9" t="s">
        <v>64</v>
      </c>
      <c r="M10" s="9" t="s">
        <v>65</v>
      </c>
      <c r="N10" s="9" t="s">
        <v>66</v>
      </c>
      <c r="O10" s="9" t="s">
        <v>67</v>
      </c>
      <c r="P10" s="9" t="s">
        <v>68</v>
      </c>
      <c r="Q10" s="9" t="s">
        <v>69</v>
      </c>
      <c r="R10" s="9" t="s">
        <v>70</v>
      </c>
    </row>
    <row r="11" spans="1:18" x14ac:dyDescent="0.3">
      <c r="A11" s="10"/>
      <c r="B11" s="10" t="s">
        <v>71</v>
      </c>
      <c r="C11" s="10"/>
      <c r="D11" s="10" t="s">
        <v>72</v>
      </c>
      <c r="E11" s="10" t="s">
        <v>73</v>
      </c>
      <c r="F11" s="10" t="s">
        <v>74</v>
      </c>
      <c r="G11" s="10" t="s">
        <v>75</v>
      </c>
      <c r="H11" s="10" t="s">
        <v>76</v>
      </c>
      <c r="I11" s="10" t="s">
        <v>77</v>
      </c>
      <c r="J11" s="10" t="s">
        <v>78</v>
      </c>
      <c r="K11" s="10" t="s">
        <v>79</v>
      </c>
      <c r="L11" s="10" t="s">
        <v>80</v>
      </c>
      <c r="M11" s="10" t="s">
        <v>81</v>
      </c>
      <c r="N11" s="10" t="s">
        <v>81</v>
      </c>
      <c r="O11" s="10" t="s">
        <v>81</v>
      </c>
      <c r="P11" s="10" t="s">
        <v>82</v>
      </c>
      <c r="Q11" s="10"/>
      <c r="R11" s="10" t="s">
        <v>83</v>
      </c>
    </row>
    <row r="12" spans="1:18" x14ac:dyDescent="0.3">
      <c r="A12" s="3">
        <v>2.8</v>
      </c>
      <c r="B12" s="3">
        <v>2.8820000000000001</v>
      </c>
      <c r="C12" t="s">
        <v>50</v>
      </c>
      <c r="D12" s="3">
        <v>2.8519999999999999</v>
      </c>
      <c r="E12" s="3">
        <v>2.8530000000000002</v>
      </c>
      <c r="F12" s="3">
        <v>2.8519999999999999</v>
      </c>
      <c r="G12" s="3">
        <v>2.8519999999999999</v>
      </c>
      <c r="H12" s="3">
        <v>2.8519999999999999</v>
      </c>
      <c r="I12" s="11">
        <f t="shared" ref="I12:I21" si="0">IF(COUNT(D12:H12)&gt;0,AVERAGE(D12:H12),"")</f>
        <v>2.8522000000000003</v>
      </c>
      <c r="J12" s="3">
        <v>1E-3</v>
      </c>
      <c r="K12" s="11">
        <f t="shared" ref="K12:K21" si="1">IF(I12&lt;&gt;"",I12-B12,"")</f>
        <v>-2.9799999999999827E-2</v>
      </c>
      <c r="L12" s="12">
        <f t="shared" ref="L12:L21" si="2">IF(COUNT(D12:H12)&gt;1,STDEV(D12:H12)/SQRT(COUNT(D12:H12)),0)</f>
        <v>2.0000000000006677E-4</v>
      </c>
      <c r="M12" s="12">
        <f t="shared" ref="M12:M21" si="3">IF(J12&lt;&gt;"",J12/(2*SQRT(3)),0)</f>
        <v>2.886751345948129E-4</v>
      </c>
      <c r="N12" s="12">
        <f t="shared" ref="N12:N21" si="4">IF($C$6&lt;&gt;"",$C$6/$C$7,0)</f>
        <v>1.6500000000000001E-5</v>
      </c>
      <c r="O12" s="12">
        <f t="shared" ref="O12:O21" si="5">IF(B12&lt;&gt;"",($C$4*0.000001*ABS(B12)+$C$5*0.000001)/SQRT(3),0)</f>
        <v>5.9122976966094443E-5</v>
      </c>
      <c r="P12" s="12">
        <f t="shared" ref="P12:P21" si="6">IF(I12&lt;&gt;"",SQRT(L12^2+M12^2+N12^2+O12^2),"")</f>
        <v>3.5651242578442249E-4</v>
      </c>
      <c r="Q12">
        <f t="shared" ref="Q12:Q21" si="7">IF(P12&lt;&gt;"",2,"")</f>
        <v>2</v>
      </c>
      <c r="R12" s="12">
        <f t="shared" ref="R12:R21" si="8">IF(P12&lt;&gt;"",Q12*P12,"")</f>
        <v>7.1302485156884499E-4</v>
      </c>
    </row>
    <row r="13" spans="1:18" x14ac:dyDescent="0.3">
      <c r="A13" s="3">
        <v>3.3</v>
      </c>
      <c r="B13" s="3">
        <v>3.32</v>
      </c>
      <c r="C13" t="s">
        <v>50</v>
      </c>
      <c r="D13" s="3">
        <v>3.3580000000000001</v>
      </c>
      <c r="E13" s="3">
        <v>3.3580000000000001</v>
      </c>
      <c r="F13" s="3">
        <v>3.3570000000000002</v>
      </c>
      <c r="G13" s="3">
        <v>3.3570000000000002</v>
      </c>
      <c r="H13" s="3">
        <v>3.3580000000000001</v>
      </c>
      <c r="I13" s="11">
        <f t="shared" si="0"/>
        <v>3.3576000000000001</v>
      </c>
      <c r="J13" s="3">
        <v>1E-3</v>
      </c>
      <c r="K13" s="11">
        <f t="shared" si="1"/>
        <v>3.76000000000003E-2</v>
      </c>
      <c r="L13" s="12">
        <f t="shared" si="2"/>
        <v>2.4494897427829084E-4</v>
      </c>
      <c r="M13" s="12">
        <f t="shared" si="3"/>
        <v>2.886751345948129E-4</v>
      </c>
      <c r="N13" s="12">
        <f t="shared" si="4"/>
        <v>1.6500000000000001E-5</v>
      </c>
      <c r="O13" s="12">
        <f t="shared" si="5"/>
        <v>6.4686324160005666E-5</v>
      </c>
      <c r="P13" s="12">
        <f t="shared" si="6"/>
        <v>3.8443452481099231E-4</v>
      </c>
      <c r="Q13">
        <f t="shared" si="7"/>
        <v>2</v>
      </c>
      <c r="R13" s="12">
        <f t="shared" si="8"/>
        <v>7.6886904962198462E-4</v>
      </c>
    </row>
    <row r="14" spans="1:18" x14ac:dyDescent="0.3">
      <c r="A14" s="3">
        <v>3.7</v>
      </c>
      <c r="B14" s="3">
        <v>3.718</v>
      </c>
      <c r="C14" t="s">
        <v>50</v>
      </c>
      <c r="D14" s="3">
        <v>3.7610000000000001</v>
      </c>
      <c r="E14" s="3">
        <v>3.762</v>
      </c>
      <c r="F14" s="3">
        <v>3.762</v>
      </c>
      <c r="G14" s="3">
        <v>3.7610000000000001</v>
      </c>
      <c r="H14" s="3">
        <v>3.7610000000000001</v>
      </c>
      <c r="I14" s="11">
        <f t="shared" si="0"/>
        <v>3.7613999999999996</v>
      </c>
      <c r="J14" s="3">
        <v>0.01</v>
      </c>
      <c r="K14" s="11">
        <f t="shared" si="1"/>
        <v>4.3399999999999661E-2</v>
      </c>
      <c r="L14" s="12">
        <f t="shared" si="2"/>
        <v>2.4494897427829084E-4</v>
      </c>
      <c r="M14" s="12">
        <f t="shared" si="3"/>
        <v>2.886751345948129E-3</v>
      </c>
      <c r="N14" s="12">
        <f t="shared" si="4"/>
        <v>1.6500000000000001E-5</v>
      </c>
      <c r="O14" s="12">
        <f t="shared" si="5"/>
        <v>6.9741603117030041E-5</v>
      </c>
      <c r="P14" s="12">
        <f t="shared" si="6"/>
        <v>2.8980112964822366E-3</v>
      </c>
      <c r="Q14">
        <f t="shared" si="7"/>
        <v>2</v>
      </c>
      <c r="R14" s="12">
        <f t="shared" si="8"/>
        <v>5.7960225929644732E-3</v>
      </c>
    </row>
    <row r="15" spans="1:18" x14ac:dyDescent="0.3">
      <c r="A15" s="3">
        <v>4.2</v>
      </c>
      <c r="B15" s="3">
        <v>4.2160000000000002</v>
      </c>
      <c r="C15" t="s">
        <v>50</v>
      </c>
      <c r="D15" s="3">
        <v>4.2670000000000003</v>
      </c>
      <c r="E15" s="3">
        <v>4.266</v>
      </c>
      <c r="F15" s="3">
        <v>4.2670000000000003</v>
      </c>
      <c r="G15" s="3">
        <v>4.2670000000000003</v>
      </c>
      <c r="H15" s="3">
        <v>4.2670000000000003</v>
      </c>
      <c r="I15" s="11">
        <f t="shared" si="0"/>
        <v>4.2667999999999999</v>
      </c>
      <c r="J15" s="3">
        <v>0.1</v>
      </c>
      <c r="K15" s="11">
        <f t="shared" si="1"/>
        <v>5.0799999999999734E-2</v>
      </c>
      <c r="L15" s="12">
        <f t="shared" si="2"/>
        <v>2.0000000000006677E-4</v>
      </c>
      <c r="M15" s="12">
        <f t="shared" si="3"/>
        <v>2.8867513459481291E-2</v>
      </c>
      <c r="N15" s="12">
        <f t="shared" si="4"/>
        <v>1.6500000000000001E-5</v>
      </c>
      <c r="O15" s="12">
        <f t="shared" si="5"/>
        <v>7.6067052666271587E-5</v>
      </c>
      <c r="P15" s="12">
        <f t="shared" si="6"/>
        <v>2.8868311204153157E-2</v>
      </c>
      <c r="Q15">
        <f t="shared" si="7"/>
        <v>2</v>
      </c>
      <c r="R15" s="12">
        <f t="shared" si="8"/>
        <v>5.7736622408306314E-2</v>
      </c>
    </row>
    <row r="16" spans="1:18" x14ac:dyDescent="0.3">
      <c r="A16" s="3">
        <v>5</v>
      </c>
      <c r="B16" s="3">
        <v>5.0049999999999999</v>
      </c>
      <c r="C16" t="s">
        <v>50</v>
      </c>
      <c r="D16" s="3">
        <v>5.0659999999999998</v>
      </c>
      <c r="E16" s="3">
        <v>5.0659999999999998</v>
      </c>
      <c r="F16" s="3">
        <v>5.0659999999999998</v>
      </c>
      <c r="G16" s="3">
        <v>5.0679999999999996</v>
      </c>
      <c r="H16" s="3">
        <v>5.0670000000000002</v>
      </c>
      <c r="I16" s="11">
        <f t="shared" si="0"/>
        <v>5.0665999999999993</v>
      </c>
      <c r="J16" s="3">
        <v>1</v>
      </c>
      <c r="K16" s="11">
        <f t="shared" si="1"/>
        <v>6.1599999999999433E-2</v>
      </c>
      <c r="L16" s="12">
        <f t="shared" si="2"/>
        <v>3.9999999999997812E-4</v>
      </c>
      <c r="M16" s="12">
        <f t="shared" si="3"/>
        <v>0.28867513459481292</v>
      </c>
      <c r="N16" s="12">
        <f t="shared" si="4"/>
        <v>1.6500000000000001E-5</v>
      </c>
      <c r="O16" s="12">
        <f t="shared" si="5"/>
        <v>8.6088698638865096E-5</v>
      </c>
      <c r="P16" s="12">
        <f t="shared" si="6"/>
        <v>0.28867542503103272</v>
      </c>
      <c r="Q16">
        <f t="shared" si="7"/>
        <v>2</v>
      </c>
      <c r="R16" s="12">
        <f t="shared" si="8"/>
        <v>0.57735085006206543</v>
      </c>
    </row>
    <row r="17" spans="1:18" x14ac:dyDescent="0.3">
      <c r="A17" s="3"/>
      <c r="B17" s="3"/>
      <c r="D17" s="3"/>
      <c r="E17" s="3"/>
      <c r="F17" s="3"/>
      <c r="G17" s="3"/>
      <c r="H17" s="3"/>
      <c r="I17" s="11" t="str">
        <f t="shared" si="0"/>
        <v/>
      </c>
      <c r="J17" s="3"/>
      <c r="K17" s="11" t="str">
        <f t="shared" si="1"/>
        <v/>
      </c>
      <c r="L17" s="12">
        <f t="shared" si="2"/>
        <v>0</v>
      </c>
      <c r="M17" s="12">
        <f t="shared" si="3"/>
        <v>0</v>
      </c>
      <c r="N17" s="12">
        <f t="shared" si="4"/>
        <v>1.6500000000000001E-5</v>
      </c>
      <c r="O17" s="12">
        <f t="shared" si="5"/>
        <v>0</v>
      </c>
      <c r="P17" s="12" t="str">
        <f t="shared" si="6"/>
        <v/>
      </c>
      <c r="Q17" t="str">
        <f t="shared" si="7"/>
        <v/>
      </c>
      <c r="R17" s="12" t="str">
        <f t="shared" si="8"/>
        <v/>
      </c>
    </row>
    <row r="18" spans="1:18" x14ac:dyDescent="0.3">
      <c r="A18" s="3"/>
      <c r="B18" s="3"/>
      <c r="D18" s="3"/>
      <c r="E18" s="3"/>
      <c r="F18" s="3"/>
      <c r="G18" s="3"/>
      <c r="H18" s="3"/>
      <c r="I18" s="11" t="str">
        <f t="shared" si="0"/>
        <v/>
      </c>
      <c r="J18" s="3"/>
      <c r="K18" s="11" t="str">
        <f t="shared" si="1"/>
        <v/>
      </c>
      <c r="L18" s="12">
        <f t="shared" si="2"/>
        <v>0</v>
      </c>
      <c r="M18" s="12">
        <f t="shared" si="3"/>
        <v>0</v>
      </c>
      <c r="N18" s="12">
        <f t="shared" si="4"/>
        <v>1.6500000000000001E-5</v>
      </c>
      <c r="O18" s="12">
        <f t="shared" si="5"/>
        <v>0</v>
      </c>
      <c r="P18" s="12" t="str">
        <f t="shared" si="6"/>
        <v/>
      </c>
      <c r="Q18" t="str">
        <f t="shared" si="7"/>
        <v/>
      </c>
      <c r="R18" s="12" t="str">
        <f t="shared" si="8"/>
        <v/>
      </c>
    </row>
    <row r="19" spans="1:18" x14ac:dyDescent="0.3">
      <c r="A19" s="3"/>
      <c r="B19" s="3"/>
      <c r="D19" s="3"/>
      <c r="E19" s="3"/>
      <c r="F19" s="3"/>
      <c r="G19" s="3"/>
      <c r="H19" s="3"/>
      <c r="I19" s="11" t="str">
        <f t="shared" si="0"/>
        <v/>
      </c>
      <c r="J19" s="3"/>
      <c r="K19" s="11" t="str">
        <f t="shared" si="1"/>
        <v/>
      </c>
      <c r="L19" s="12">
        <f t="shared" si="2"/>
        <v>0</v>
      </c>
      <c r="M19" s="12">
        <f t="shared" si="3"/>
        <v>0</v>
      </c>
      <c r="N19" s="12">
        <f t="shared" si="4"/>
        <v>1.6500000000000001E-5</v>
      </c>
      <c r="O19" s="12">
        <f t="shared" si="5"/>
        <v>0</v>
      </c>
      <c r="P19" s="12" t="str">
        <f t="shared" si="6"/>
        <v/>
      </c>
      <c r="Q19" t="str">
        <f t="shared" si="7"/>
        <v/>
      </c>
      <c r="R19" s="12" t="str">
        <f t="shared" si="8"/>
        <v/>
      </c>
    </row>
    <row r="20" spans="1:18" x14ac:dyDescent="0.3">
      <c r="A20" s="3"/>
      <c r="B20" s="3"/>
      <c r="D20" s="3"/>
      <c r="E20" s="3"/>
      <c r="F20" s="3"/>
      <c r="G20" s="3"/>
      <c r="H20" s="3"/>
      <c r="I20" s="11" t="str">
        <f t="shared" si="0"/>
        <v/>
      </c>
      <c r="J20" s="3"/>
      <c r="K20" s="11" t="str">
        <f t="shared" si="1"/>
        <v/>
      </c>
      <c r="L20" s="12">
        <f t="shared" si="2"/>
        <v>0</v>
      </c>
      <c r="M20" s="12">
        <f t="shared" si="3"/>
        <v>0</v>
      </c>
      <c r="N20" s="12">
        <f t="shared" si="4"/>
        <v>1.6500000000000001E-5</v>
      </c>
      <c r="O20" s="12">
        <f t="shared" si="5"/>
        <v>0</v>
      </c>
      <c r="P20" s="12" t="str">
        <f t="shared" si="6"/>
        <v/>
      </c>
      <c r="Q20" t="str">
        <f t="shared" si="7"/>
        <v/>
      </c>
      <c r="R20" s="12" t="str">
        <f t="shared" si="8"/>
        <v/>
      </c>
    </row>
    <row r="21" spans="1:18" x14ac:dyDescent="0.3">
      <c r="A21" s="3"/>
      <c r="B21" s="3"/>
      <c r="D21" s="3"/>
      <c r="E21" s="3"/>
      <c r="F21" s="3"/>
      <c r="G21" s="3"/>
      <c r="H21" s="3"/>
      <c r="I21" s="11" t="str">
        <f t="shared" si="0"/>
        <v/>
      </c>
      <c r="J21" s="3"/>
      <c r="K21" s="11" t="str">
        <f t="shared" si="1"/>
        <v/>
      </c>
      <c r="L21" s="12">
        <f t="shared" si="2"/>
        <v>0</v>
      </c>
      <c r="M21" s="12">
        <f t="shared" si="3"/>
        <v>0</v>
      </c>
      <c r="N21" s="12">
        <f t="shared" si="4"/>
        <v>1.6500000000000001E-5</v>
      </c>
      <c r="O21" s="12">
        <f t="shared" si="5"/>
        <v>0</v>
      </c>
      <c r="P21" s="12" t="str">
        <f t="shared" si="6"/>
        <v/>
      </c>
      <c r="Q21" t="str">
        <f t="shared" si="7"/>
        <v/>
      </c>
      <c r="R21" s="12" t="str">
        <f t="shared" si="8"/>
        <v/>
      </c>
    </row>
    <row r="23" spans="1:18" x14ac:dyDescent="0.3">
      <c r="A23" s="39" t="s">
        <v>84</v>
      </c>
      <c r="B23" s="40"/>
      <c r="C23" s="40"/>
      <c r="D23" s="40"/>
      <c r="E23" s="40"/>
      <c r="F23" s="40"/>
    </row>
    <row r="24" spans="1:18" x14ac:dyDescent="0.3">
      <c r="A24" s="1" t="s">
        <v>85</v>
      </c>
      <c r="D24" s="2" t="s">
        <v>86</v>
      </c>
    </row>
    <row r="25" spans="1:18" x14ac:dyDescent="0.3">
      <c r="A25" s="1" t="s">
        <v>87</v>
      </c>
      <c r="D25" s="2" t="s">
        <v>88</v>
      </c>
    </row>
    <row r="26" spans="1:18" x14ac:dyDescent="0.3">
      <c r="A26" s="1" t="s">
        <v>89</v>
      </c>
      <c r="D26" s="2" t="s">
        <v>90</v>
      </c>
    </row>
    <row r="27" spans="1:18" x14ac:dyDescent="0.3">
      <c r="A27" s="1" t="s">
        <v>91</v>
      </c>
      <c r="D27" s="2" t="s">
        <v>92</v>
      </c>
    </row>
    <row r="28" spans="1:18" x14ac:dyDescent="0.3">
      <c r="A28" s="1" t="s">
        <v>93</v>
      </c>
      <c r="D28" s="2" t="s">
        <v>94</v>
      </c>
    </row>
    <row r="29" spans="1:18" x14ac:dyDescent="0.3">
      <c r="A29" s="1" t="s">
        <v>95</v>
      </c>
      <c r="D29" s="2" t="s">
        <v>96</v>
      </c>
    </row>
    <row r="31" spans="1:18" x14ac:dyDescent="0.3">
      <c r="A31" s="41" t="s">
        <v>97</v>
      </c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</row>
    <row r="33" spans="1:6" x14ac:dyDescent="0.3">
      <c r="A33" s="43" t="s">
        <v>98</v>
      </c>
      <c r="B33" s="44"/>
      <c r="C33" s="44"/>
      <c r="D33" s="44"/>
      <c r="E33" s="44"/>
      <c r="F33" s="44"/>
    </row>
    <row r="34" spans="1:6" x14ac:dyDescent="0.3">
      <c r="A34" s="34" t="s">
        <v>99</v>
      </c>
      <c r="B34" s="34"/>
      <c r="C34" s="34"/>
      <c r="D34" s="34"/>
      <c r="E34" s="34"/>
      <c r="F34" s="34"/>
    </row>
    <row r="35" spans="1:6" x14ac:dyDescent="0.3">
      <c r="A35" s="34" t="s">
        <v>100</v>
      </c>
      <c r="B35" s="34"/>
      <c r="C35" s="34"/>
      <c r="D35" s="34"/>
      <c r="E35">
        <v>200</v>
      </c>
    </row>
    <row r="36" spans="1:6" x14ac:dyDescent="0.3">
      <c r="A36" s="34" t="s">
        <v>101</v>
      </c>
      <c r="B36" s="34"/>
      <c r="C36" s="34"/>
      <c r="D36" s="34"/>
      <c r="E36">
        <v>5</v>
      </c>
    </row>
    <row r="37" spans="1:6" x14ac:dyDescent="0.3">
      <c r="A37" s="34" t="s">
        <v>102</v>
      </c>
      <c r="B37" s="34"/>
      <c r="C37" s="34"/>
      <c r="D37" s="34"/>
      <c r="E37">
        <f>E36-1</f>
        <v>4</v>
      </c>
    </row>
    <row r="39" spans="1:6" x14ac:dyDescent="0.3">
      <c r="A39" s="33" t="s">
        <v>103</v>
      </c>
      <c r="B39" s="34"/>
      <c r="C39" s="34"/>
      <c r="D39" s="34"/>
      <c r="E39" s="34"/>
      <c r="F39" s="34"/>
    </row>
    <row r="40" spans="1:6" x14ac:dyDescent="0.3">
      <c r="A40" s="33" t="s">
        <v>104</v>
      </c>
      <c r="B40" s="34"/>
      <c r="C40" s="34"/>
      <c r="D40" s="34"/>
      <c r="E40" s="34"/>
      <c r="F40" s="34"/>
    </row>
  </sheetData>
  <mergeCells count="12">
    <mergeCell ref="A40:F40"/>
    <mergeCell ref="A1:R1"/>
    <mergeCell ref="A3:F3"/>
    <mergeCell ref="A9:R9"/>
    <mergeCell ref="A23:F23"/>
    <mergeCell ref="A31:R31"/>
    <mergeCell ref="A33:F33"/>
    <mergeCell ref="A34:F34"/>
    <mergeCell ref="A35:D35"/>
    <mergeCell ref="A36:D36"/>
    <mergeCell ref="A37:D37"/>
    <mergeCell ref="A39:F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83E3B-8AD8-4B7F-95DD-8062781E0A45}">
  <dimension ref="A1:S21"/>
  <sheetViews>
    <sheetView workbookViewId="0">
      <selection activeCell="I16" sqref="I16"/>
    </sheetView>
  </sheetViews>
  <sheetFormatPr baseColWidth="10" defaultColWidth="11.44140625" defaultRowHeight="14.4" x14ac:dyDescent="0.3"/>
  <cols>
    <col min="1" max="1" width="15.33203125" customWidth="1"/>
    <col min="2" max="4" width="16.109375" customWidth="1"/>
    <col min="5" max="9" width="14.33203125" customWidth="1"/>
    <col min="10" max="12" width="17.109375" customWidth="1"/>
    <col min="13" max="19" width="14.33203125" customWidth="1"/>
  </cols>
  <sheetData>
    <row r="1" spans="1:19" ht="18" x14ac:dyDescent="0.35">
      <c r="A1" s="35" t="s">
        <v>105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3" spans="1:19" x14ac:dyDescent="0.3">
      <c r="A3" s="37" t="s">
        <v>46</v>
      </c>
      <c r="B3" s="38"/>
      <c r="C3" s="38"/>
      <c r="D3" s="38"/>
      <c r="E3" s="38"/>
      <c r="F3" s="38"/>
    </row>
    <row r="4" spans="1:19" x14ac:dyDescent="0.3">
      <c r="A4" t="s">
        <v>47</v>
      </c>
      <c r="C4" s="3">
        <v>40</v>
      </c>
    </row>
    <row r="5" spans="1:19" x14ac:dyDescent="0.3">
      <c r="A5" t="s">
        <v>48</v>
      </c>
      <c r="C5" s="3">
        <v>100</v>
      </c>
    </row>
    <row r="6" spans="1:19" x14ac:dyDescent="0.3">
      <c r="A6" t="s">
        <v>106</v>
      </c>
      <c r="C6" s="3">
        <v>1.2E-4</v>
      </c>
      <c r="D6" t="s">
        <v>50</v>
      </c>
    </row>
    <row r="7" spans="1:19" x14ac:dyDescent="0.3">
      <c r="A7" t="s">
        <v>51</v>
      </c>
      <c r="C7" s="3">
        <v>2</v>
      </c>
    </row>
    <row r="9" spans="1:19" x14ac:dyDescent="0.3">
      <c r="A9" s="37" t="s">
        <v>107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</row>
    <row r="10" spans="1:19" x14ac:dyDescent="0.3">
      <c r="A10" s="9" t="s">
        <v>53</v>
      </c>
      <c r="B10" s="9" t="s">
        <v>54</v>
      </c>
      <c r="C10" s="9" t="s">
        <v>108</v>
      </c>
      <c r="D10" s="9" t="s">
        <v>55</v>
      </c>
      <c r="E10" s="9" t="s">
        <v>56</v>
      </c>
      <c r="F10" s="9" t="s">
        <v>57</v>
      </c>
      <c r="G10" s="9" t="s">
        <v>58</v>
      </c>
      <c r="H10" s="9" t="s">
        <v>59</v>
      </c>
      <c r="I10" s="9" t="s">
        <v>60</v>
      </c>
      <c r="J10" s="9" t="s">
        <v>61</v>
      </c>
      <c r="K10" s="9" t="s">
        <v>62</v>
      </c>
      <c r="L10" s="9" t="s">
        <v>63</v>
      </c>
      <c r="M10" s="9" t="s">
        <v>64</v>
      </c>
      <c r="N10" s="9" t="s">
        <v>65</v>
      </c>
      <c r="O10" s="9" t="s">
        <v>66</v>
      </c>
      <c r="P10" s="9" t="s">
        <v>67</v>
      </c>
      <c r="Q10" s="9" t="s">
        <v>68</v>
      </c>
      <c r="R10" s="9" t="s">
        <v>69</v>
      </c>
      <c r="S10" s="9" t="s">
        <v>70</v>
      </c>
    </row>
    <row r="11" spans="1:19" x14ac:dyDescent="0.3">
      <c r="A11" s="10"/>
      <c r="B11" s="10" t="s">
        <v>71</v>
      </c>
      <c r="C11" s="10" t="s">
        <v>109</v>
      </c>
      <c r="D11" s="10"/>
      <c r="E11" s="10" t="s">
        <v>72</v>
      </c>
      <c r="F11" s="10" t="s">
        <v>73</v>
      </c>
      <c r="G11" s="10" t="s">
        <v>74</v>
      </c>
      <c r="H11" s="10" t="s">
        <v>75</v>
      </c>
      <c r="I11" s="10" t="s">
        <v>76</v>
      </c>
      <c r="J11" s="10" t="s">
        <v>77</v>
      </c>
      <c r="K11" s="10" t="s">
        <v>78</v>
      </c>
      <c r="L11" s="10" t="s">
        <v>79</v>
      </c>
      <c r="M11" s="10" t="s">
        <v>80</v>
      </c>
      <c r="N11" s="10" t="s">
        <v>81</v>
      </c>
      <c r="O11" s="10" t="s">
        <v>81</v>
      </c>
      <c r="P11" s="10" t="s">
        <v>81</v>
      </c>
      <c r="Q11" s="10" t="s">
        <v>82</v>
      </c>
      <c r="R11" s="10"/>
      <c r="S11" s="10" t="s">
        <v>83</v>
      </c>
    </row>
    <row r="12" spans="1:19" x14ac:dyDescent="0.3">
      <c r="A12" s="3"/>
      <c r="B12" s="3"/>
      <c r="C12" s="3"/>
      <c r="D12" t="s">
        <v>50</v>
      </c>
      <c r="E12" s="3"/>
      <c r="F12" s="3"/>
      <c r="G12" s="3"/>
      <c r="H12" s="3"/>
      <c r="I12" s="3"/>
      <c r="J12" s="11" t="str">
        <f t="shared" ref="J12:J21" si="0">IF(COUNT(E12:I12)&gt;0,AVERAGE(E12:I12),"")</f>
        <v/>
      </c>
      <c r="K12" s="3">
        <v>1E-3</v>
      </c>
      <c r="L12" s="11" t="str">
        <f t="shared" ref="L12:L21" si="1">IF(J12&lt;&gt;"",J12-B12,"")</f>
        <v/>
      </c>
      <c r="M12" s="12">
        <f t="shared" ref="M12:M21" si="2">IF(COUNT(E12:I12)&gt;1,STDEV(E12:I12)/SQRT(COUNT(E12:I12)),0)</f>
        <v>0</v>
      </c>
      <c r="N12" s="12">
        <f t="shared" ref="N12:N21" si="3">IF(K12&lt;&gt;"",K12/(2*SQRT(3)),0)</f>
        <v>2.886751345948129E-4</v>
      </c>
      <c r="O12" s="12">
        <f t="shared" ref="O12:O21" si="4">IF($C$6&lt;&gt;"",$C$6/$C$7,0)</f>
        <v>6.0000000000000002E-5</v>
      </c>
      <c r="P12" s="12">
        <f t="shared" ref="P12:P21" si="5">IF(B12&lt;&gt;"",($C$4*0.000001*ABS(B12)+$C$5*0.000001)/SQRT(3),0)</f>
        <v>0</v>
      </c>
      <c r="Q12" s="12" t="str">
        <f t="shared" ref="Q12:Q21" si="6">IF(J12&lt;&gt;"",SQRT(M12^2+N12^2+O12^2+P12^2),"")</f>
        <v/>
      </c>
      <c r="R12" t="str">
        <f t="shared" ref="R12:R21" si="7">IF(Q12&lt;&gt;"",2,"")</f>
        <v/>
      </c>
      <c r="S12" s="12" t="str">
        <f t="shared" ref="S12:S21" si="8">IF(Q12&lt;&gt;"",R12*Q12,"")</f>
        <v/>
      </c>
    </row>
    <row r="13" spans="1:19" x14ac:dyDescent="0.3">
      <c r="A13" s="3"/>
      <c r="B13" s="3"/>
      <c r="C13" s="3"/>
      <c r="D13" t="s">
        <v>50</v>
      </c>
      <c r="E13" s="3"/>
      <c r="F13" s="3"/>
      <c r="G13" s="3"/>
      <c r="H13" s="3"/>
      <c r="I13" s="3"/>
      <c r="J13" s="11" t="str">
        <f t="shared" si="0"/>
        <v/>
      </c>
      <c r="K13" s="3">
        <v>1E-3</v>
      </c>
      <c r="L13" s="11" t="str">
        <f t="shared" si="1"/>
        <v/>
      </c>
      <c r="M13" s="12">
        <f t="shared" si="2"/>
        <v>0</v>
      </c>
      <c r="N13" s="12">
        <f t="shared" si="3"/>
        <v>2.886751345948129E-4</v>
      </c>
      <c r="O13" s="12">
        <f t="shared" si="4"/>
        <v>6.0000000000000002E-5</v>
      </c>
      <c r="P13" s="12">
        <f t="shared" si="5"/>
        <v>0</v>
      </c>
      <c r="Q13" s="12" t="str">
        <f t="shared" si="6"/>
        <v/>
      </c>
      <c r="R13" t="str">
        <f t="shared" si="7"/>
        <v/>
      </c>
      <c r="S13" s="12" t="str">
        <f t="shared" si="8"/>
        <v/>
      </c>
    </row>
    <row r="14" spans="1:19" x14ac:dyDescent="0.3">
      <c r="A14" s="3"/>
      <c r="B14" s="3"/>
      <c r="C14" s="3"/>
      <c r="D14" t="s">
        <v>50</v>
      </c>
      <c r="E14" s="3"/>
      <c r="F14" s="3"/>
      <c r="G14" s="3"/>
      <c r="H14" s="3"/>
      <c r="I14" s="3"/>
      <c r="J14" s="11" t="str">
        <f t="shared" si="0"/>
        <v/>
      </c>
      <c r="K14" s="3">
        <v>1E-3</v>
      </c>
      <c r="L14" s="11" t="str">
        <f t="shared" si="1"/>
        <v/>
      </c>
      <c r="M14" s="12">
        <f t="shared" si="2"/>
        <v>0</v>
      </c>
      <c r="N14" s="12">
        <f t="shared" si="3"/>
        <v>2.886751345948129E-4</v>
      </c>
      <c r="O14" s="12">
        <f t="shared" si="4"/>
        <v>6.0000000000000002E-5</v>
      </c>
      <c r="P14" s="12">
        <f t="shared" si="5"/>
        <v>0</v>
      </c>
      <c r="Q14" s="12" t="str">
        <f t="shared" si="6"/>
        <v/>
      </c>
      <c r="R14" t="str">
        <f t="shared" si="7"/>
        <v/>
      </c>
      <c r="S14" s="12" t="str">
        <f t="shared" si="8"/>
        <v/>
      </c>
    </row>
    <row r="15" spans="1:19" x14ac:dyDescent="0.3">
      <c r="A15" s="3"/>
      <c r="B15" s="3"/>
      <c r="C15" s="3"/>
      <c r="D15" t="s">
        <v>50</v>
      </c>
      <c r="E15" s="3"/>
      <c r="F15" s="3"/>
      <c r="G15" s="3"/>
      <c r="H15" s="3"/>
      <c r="I15" s="3"/>
      <c r="J15" s="11" t="str">
        <f t="shared" si="0"/>
        <v/>
      </c>
      <c r="K15" s="3">
        <v>1E-3</v>
      </c>
      <c r="L15" s="11" t="str">
        <f t="shared" si="1"/>
        <v/>
      </c>
      <c r="M15" s="12">
        <f t="shared" si="2"/>
        <v>0</v>
      </c>
      <c r="N15" s="12">
        <f t="shared" si="3"/>
        <v>2.886751345948129E-4</v>
      </c>
      <c r="O15" s="12">
        <f t="shared" si="4"/>
        <v>6.0000000000000002E-5</v>
      </c>
      <c r="P15" s="12">
        <f t="shared" si="5"/>
        <v>0</v>
      </c>
      <c r="Q15" s="12" t="str">
        <f t="shared" si="6"/>
        <v/>
      </c>
      <c r="R15" t="str">
        <f t="shared" si="7"/>
        <v/>
      </c>
      <c r="S15" s="12" t="str">
        <f t="shared" si="8"/>
        <v/>
      </c>
    </row>
    <row r="16" spans="1:19" x14ac:dyDescent="0.3">
      <c r="A16" s="3"/>
      <c r="B16" s="3"/>
      <c r="C16" s="3"/>
      <c r="E16" s="3"/>
      <c r="F16" s="3"/>
      <c r="G16" s="3"/>
      <c r="H16" s="3"/>
      <c r="I16" s="3"/>
      <c r="J16" s="11" t="str">
        <f t="shared" si="0"/>
        <v/>
      </c>
      <c r="K16" s="3"/>
      <c r="L16" s="11" t="str">
        <f t="shared" si="1"/>
        <v/>
      </c>
      <c r="M16" s="12">
        <f t="shared" si="2"/>
        <v>0</v>
      </c>
      <c r="N16" s="12">
        <f t="shared" si="3"/>
        <v>0</v>
      </c>
      <c r="O16" s="12">
        <f t="shared" si="4"/>
        <v>6.0000000000000002E-5</v>
      </c>
      <c r="P16" s="12">
        <f t="shared" si="5"/>
        <v>0</v>
      </c>
      <c r="Q16" s="12" t="str">
        <f t="shared" si="6"/>
        <v/>
      </c>
      <c r="R16" t="str">
        <f t="shared" si="7"/>
        <v/>
      </c>
      <c r="S16" s="12" t="str">
        <f t="shared" si="8"/>
        <v/>
      </c>
    </row>
    <row r="17" spans="1:19" x14ac:dyDescent="0.3">
      <c r="A17" s="3"/>
      <c r="B17" s="3"/>
      <c r="C17" s="3"/>
      <c r="E17" s="3"/>
      <c r="F17" s="3"/>
      <c r="G17" s="3"/>
      <c r="H17" s="3"/>
      <c r="I17" s="3"/>
      <c r="J17" s="11" t="str">
        <f t="shared" si="0"/>
        <v/>
      </c>
      <c r="K17" s="3"/>
      <c r="L17" s="11" t="str">
        <f t="shared" si="1"/>
        <v/>
      </c>
      <c r="M17" s="12">
        <f t="shared" si="2"/>
        <v>0</v>
      </c>
      <c r="N17" s="12">
        <f t="shared" si="3"/>
        <v>0</v>
      </c>
      <c r="O17" s="12">
        <f t="shared" si="4"/>
        <v>6.0000000000000002E-5</v>
      </c>
      <c r="P17" s="12">
        <f t="shared" si="5"/>
        <v>0</v>
      </c>
      <c r="Q17" s="12" t="str">
        <f t="shared" si="6"/>
        <v/>
      </c>
      <c r="R17" t="str">
        <f t="shared" si="7"/>
        <v/>
      </c>
      <c r="S17" s="12" t="str">
        <f t="shared" si="8"/>
        <v/>
      </c>
    </row>
    <row r="18" spans="1:19" x14ac:dyDescent="0.3">
      <c r="A18" s="3"/>
      <c r="B18" s="3"/>
      <c r="C18" s="3"/>
      <c r="E18" s="3"/>
      <c r="F18" s="3"/>
      <c r="G18" s="3"/>
      <c r="H18" s="3"/>
      <c r="I18" s="3"/>
      <c r="J18" s="11" t="str">
        <f t="shared" si="0"/>
        <v/>
      </c>
      <c r="K18" s="3"/>
      <c r="L18" s="11" t="str">
        <f t="shared" si="1"/>
        <v/>
      </c>
      <c r="M18" s="12">
        <f t="shared" si="2"/>
        <v>0</v>
      </c>
      <c r="N18" s="12">
        <f t="shared" si="3"/>
        <v>0</v>
      </c>
      <c r="O18" s="12">
        <f t="shared" si="4"/>
        <v>6.0000000000000002E-5</v>
      </c>
      <c r="P18" s="12">
        <f t="shared" si="5"/>
        <v>0</v>
      </c>
      <c r="Q18" s="12" t="str">
        <f t="shared" si="6"/>
        <v/>
      </c>
      <c r="R18" t="str">
        <f t="shared" si="7"/>
        <v/>
      </c>
      <c r="S18" s="12" t="str">
        <f t="shared" si="8"/>
        <v/>
      </c>
    </row>
    <row r="19" spans="1:19" x14ac:dyDescent="0.3">
      <c r="A19" s="3"/>
      <c r="B19" s="3"/>
      <c r="C19" s="3"/>
      <c r="E19" s="3"/>
      <c r="F19" s="3"/>
      <c r="G19" s="3"/>
      <c r="H19" s="3"/>
      <c r="I19" s="3"/>
      <c r="J19" s="11" t="str">
        <f t="shared" si="0"/>
        <v/>
      </c>
      <c r="K19" s="3"/>
      <c r="L19" s="11" t="str">
        <f t="shared" si="1"/>
        <v/>
      </c>
      <c r="M19" s="12">
        <f t="shared" si="2"/>
        <v>0</v>
      </c>
      <c r="N19" s="12">
        <f t="shared" si="3"/>
        <v>0</v>
      </c>
      <c r="O19" s="12">
        <f t="shared" si="4"/>
        <v>6.0000000000000002E-5</v>
      </c>
      <c r="P19" s="12">
        <f t="shared" si="5"/>
        <v>0</v>
      </c>
      <c r="Q19" s="12" t="str">
        <f t="shared" si="6"/>
        <v/>
      </c>
      <c r="R19" t="str">
        <f t="shared" si="7"/>
        <v/>
      </c>
      <c r="S19" s="12" t="str">
        <f t="shared" si="8"/>
        <v/>
      </c>
    </row>
    <row r="20" spans="1:19" x14ac:dyDescent="0.3">
      <c r="A20" s="3"/>
      <c r="B20" s="3"/>
      <c r="C20" s="3"/>
      <c r="E20" s="3"/>
      <c r="F20" s="3"/>
      <c r="G20" s="3"/>
      <c r="H20" s="3"/>
      <c r="I20" s="3"/>
      <c r="J20" s="11" t="str">
        <f t="shared" si="0"/>
        <v/>
      </c>
      <c r="K20" s="3"/>
      <c r="L20" s="11" t="str">
        <f t="shared" si="1"/>
        <v/>
      </c>
      <c r="M20" s="12">
        <f t="shared" si="2"/>
        <v>0</v>
      </c>
      <c r="N20" s="12">
        <f t="shared" si="3"/>
        <v>0</v>
      </c>
      <c r="O20" s="12">
        <f t="shared" si="4"/>
        <v>6.0000000000000002E-5</v>
      </c>
      <c r="P20" s="12">
        <f t="shared" si="5"/>
        <v>0</v>
      </c>
      <c r="Q20" s="12" t="str">
        <f t="shared" si="6"/>
        <v/>
      </c>
      <c r="R20" t="str">
        <f t="shared" si="7"/>
        <v/>
      </c>
      <c r="S20" s="12" t="str">
        <f t="shared" si="8"/>
        <v/>
      </c>
    </row>
    <row r="21" spans="1:19" x14ac:dyDescent="0.3">
      <c r="A21" s="3"/>
      <c r="B21" s="3"/>
      <c r="C21" s="3"/>
      <c r="E21" s="3"/>
      <c r="F21" s="3"/>
      <c r="G21" s="3"/>
      <c r="H21" s="3"/>
      <c r="I21" s="3"/>
      <c r="J21" s="11" t="str">
        <f t="shared" si="0"/>
        <v/>
      </c>
      <c r="K21" s="3"/>
      <c r="L21" s="11" t="str">
        <f t="shared" si="1"/>
        <v/>
      </c>
      <c r="M21" s="12">
        <f t="shared" si="2"/>
        <v>0</v>
      </c>
      <c r="N21" s="12">
        <f t="shared" si="3"/>
        <v>0</v>
      </c>
      <c r="O21" s="12">
        <f t="shared" si="4"/>
        <v>6.0000000000000002E-5</v>
      </c>
      <c r="P21" s="12">
        <f t="shared" si="5"/>
        <v>0</v>
      </c>
      <c r="Q21" s="12" t="str">
        <f t="shared" si="6"/>
        <v/>
      </c>
      <c r="R21" t="str">
        <f t="shared" si="7"/>
        <v/>
      </c>
      <c r="S21" s="12" t="str">
        <f t="shared" si="8"/>
        <v/>
      </c>
    </row>
  </sheetData>
  <mergeCells count="3">
    <mergeCell ref="A1:S1"/>
    <mergeCell ref="A3:F3"/>
    <mergeCell ref="A9:S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7E1E-D144-4B3A-B4E1-9CF3A3749DE5}">
  <dimension ref="A1:R21"/>
  <sheetViews>
    <sheetView topLeftCell="A6" workbookViewId="0">
      <selection activeCell="C18" sqref="C18"/>
    </sheetView>
  </sheetViews>
  <sheetFormatPr baseColWidth="10" defaultColWidth="11.44140625" defaultRowHeight="14.4" x14ac:dyDescent="0.3"/>
  <cols>
    <col min="1" max="1" width="15.33203125" customWidth="1"/>
    <col min="2" max="3" width="17.109375" customWidth="1"/>
    <col min="4" max="8" width="15.33203125" customWidth="1"/>
    <col min="9" max="11" width="18.109375" customWidth="1"/>
    <col min="12" max="18" width="15.33203125" customWidth="1"/>
  </cols>
  <sheetData>
    <row r="1" spans="1:18" ht="18" x14ac:dyDescent="0.35">
      <c r="A1" s="35" t="s">
        <v>110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3" spans="1:18" x14ac:dyDescent="0.3">
      <c r="A3" s="37" t="s">
        <v>46</v>
      </c>
      <c r="B3" s="38"/>
      <c r="C3" s="38"/>
      <c r="D3" s="38"/>
      <c r="E3" s="38"/>
      <c r="F3" s="38"/>
    </row>
    <row r="4" spans="1:18" x14ac:dyDescent="0.3">
      <c r="A4" t="s">
        <v>47</v>
      </c>
      <c r="C4" s="3">
        <v>50</v>
      </c>
    </row>
    <row r="5" spans="1:18" x14ac:dyDescent="0.3">
      <c r="A5" t="s">
        <v>111</v>
      </c>
      <c r="C5" s="3">
        <v>10</v>
      </c>
    </row>
    <row r="6" spans="1:18" x14ac:dyDescent="0.3">
      <c r="A6" t="s">
        <v>106</v>
      </c>
      <c r="C6" s="3">
        <v>1.0000000000000001E-5</v>
      </c>
      <c r="D6" t="s">
        <v>112</v>
      </c>
    </row>
    <row r="7" spans="1:18" x14ac:dyDescent="0.3">
      <c r="A7" t="s">
        <v>51</v>
      </c>
      <c r="C7" s="3">
        <v>2</v>
      </c>
    </row>
    <row r="9" spans="1:18" x14ac:dyDescent="0.3">
      <c r="A9" s="37" t="s">
        <v>113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</row>
    <row r="10" spans="1:18" x14ac:dyDescent="0.3">
      <c r="A10" s="9" t="s">
        <v>53</v>
      </c>
      <c r="B10" s="9" t="s">
        <v>54</v>
      </c>
      <c r="C10" s="9" t="s">
        <v>55</v>
      </c>
      <c r="D10" s="9" t="s">
        <v>56</v>
      </c>
      <c r="E10" s="9" t="s">
        <v>57</v>
      </c>
      <c r="F10" s="9" t="s">
        <v>58</v>
      </c>
      <c r="G10" s="9" t="s">
        <v>59</v>
      </c>
      <c r="H10" s="9" t="s">
        <v>60</v>
      </c>
      <c r="I10" s="9" t="s">
        <v>61</v>
      </c>
      <c r="J10" s="9" t="s">
        <v>62</v>
      </c>
      <c r="K10" s="9" t="s">
        <v>63</v>
      </c>
      <c r="L10" s="9" t="s">
        <v>64</v>
      </c>
      <c r="M10" s="9" t="s">
        <v>65</v>
      </c>
      <c r="N10" s="9" t="s">
        <v>66</v>
      </c>
      <c r="O10" s="9" t="s">
        <v>67</v>
      </c>
      <c r="P10" s="9" t="s">
        <v>68</v>
      </c>
      <c r="Q10" s="9" t="s">
        <v>69</v>
      </c>
      <c r="R10" s="9" t="s">
        <v>70</v>
      </c>
    </row>
    <row r="12" spans="1:18" x14ac:dyDescent="0.3">
      <c r="A12" s="3" t="s">
        <v>114</v>
      </c>
      <c r="B12" s="3">
        <v>10.46</v>
      </c>
      <c r="C12" t="s">
        <v>115</v>
      </c>
      <c r="D12" s="3">
        <v>10.130000000000001</v>
      </c>
      <c r="E12" s="3">
        <v>10.199999999999999</v>
      </c>
      <c r="F12" s="3">
        <v>10.32</v>
      </c>
      <c r="G12" s="3">
        <v>9.65</v>
      </c>
      <c r="H12" s="3">
        <v>10.31</v>
      </c>
      <c r="I12" s="11">
        <f t="shared" ref="I12:I21" si="0">IF(COUNT(D12:H12)&gt;0,AVERAGE(D12:H12),"")</f>
        <v>10.122</v>
      </c>
      <c r="J12" s="3">
        <v>9.9999999999999995E-7</v>
      </c>
      <c r="K12" s="11">
        <f t="shared" ref="K12:K21" si="1">IF(I12&lt;&gt;"",I12-B12,"")</f>
        <v>-0.33800000000000097</v>
      </c>
      <c r="L12" s="12">
        <f t="shared" ref="L12:L21" si="2">IF(COUNT(D12:H12)&gt;1,STDEV(D12:H12)/SQRT(COUNT(D12:H12)),0)</f>
        <v>0.12318279100588682</v>
      </c>
      <c r="M12" s="12">
        <f t="shared" ref="M12:M21" si="3">IF(J12&lt;&gt;"",J12/(2*SQRT(3)),0)</f>
        <v>2.8867513459481289E-7</v>
      </c>
      <c r="N12" s="12">
        <f t="shared" ref="N12:N21" si="4">IF($C$6&lt;&gt;"",$C$6/$C$7,0)</f>
        <v>5.0000000000000004E-6</v>
      </c>
      <c r="O12" s="12">
        <f t="shared" ref="O12:O21" si="5">IF(B12&lt;&gt;"",($C$4*0.000001*ABS(B12)+$C$5*0.000001)/SQRT(3),0)</f>
        <v>3.0772769347807058E-4</v>
      </c>
      <c r="P12" s="12">
        <f t="shared" ref="P12:P21" si="6">IF(I12&lt;&gt;"",SQRT(L12^2+M12^2+N12^2+O12^2),"")</f>
        <v>0.12318317548032547</v>
      </c>
      <c r="Q12" s="12">
        <f t="shared" ref="Q12:Q21" si="7">IF(P12&lt;&gt;"",2,"")</f>
        <v>2</v>
      </c>
      <c r="R12" s="12">
        <f t="shared" ref="R12:R21" si="8">IF(P12&lt;&gt;"",Q12*P12,"")</f>
        <v>0.24636635096065093</v>
      </c>
    </row>
    <row r="13" spans="1:18" x14ac:dyDescent="0.3">
      <c r="A13" s="3" t="s">
        <v>116</v>
      </c>
      <c r="B13" s="3">
        <v>246.92599999999999</v>
      </c>
      <c r="C13" t="s">
        <v>115</v>
      </c>
      <c r="D13" s="3">
        <v>246.82</v>
      </c>
      <c r="E13" s="3">
        <v>247.16</v>
      </c>
      <c r="F13" s="3">
        <v>247.56</v>
      </c>
      <c r="G13" s="3">
        <v>246.07</v>
      </c>
      <c r="H13" s="3">
        <v>247.43</v>
      </c>
      <c r="I13" s="11">
        <f t="shared" si="0"/>
        <v>247.00799999999998</v>
      </c>
      <c r="J13" s="3">
        <v>1.0000000000000001E-5</v>
      </c>
      <c r="K13" s="11">
        <f t="shared" si="1"/>
        <v>8.1999999999993634E-2</v>
      </c>
      <c r="L13" s="12">
        <f t="shared" si="2"/>
        <v>0.26655956182437185</v>
      </c>
      <c r="M13" s="12">
        <f t="shared" si="3"/>
        <v>2.8867513459481293E-6</v>
      </c>
      <c r="N13" s="12">
        <f t="shared" si="4"/>
        <v>5.0000000000000004E-6</v>
      </c>
      <c r="O13" s="12">
        <f t="shared" si="5"/>
        <v>7.133913131187772E-3</v>
      </c>
      <c r="P13" s="12">
        <f t="shared" si="6"/>
        <v>0.26665500698448885</v>
      </c>
      <c r="Q13" s="12">
        <f t="shared" si="7"/>
        <v>2</v>
      </c>
      <c r="R13" s="12">
        <f t="shared" si="8"/>
        <v>0.5333100139689777</v>
      </c>
    </row>
    <row r="14" spans="1:18" x14ac:dyDescent="0.3">
      <c r="A14" s="3" t="s">
        <v>117</v>
      </c>
      <c r="B14" s="3">
        <v>493.95100000000002</v>
      </c>
      <c r="C14" t="s">
        <v>115</v>
      </c>
      <c r="D14" s="3">
        <v>494.81</v>
      </c>
      <c r="E14" s="3">
        <v>491.81</v>
      </c>
      <c r="F14" s="3">
        <v>494.83</v>
      </c>
      <c r="G14" s="3">
        <v>494.58</v>
      </c>
      <c r="H14" s="3">
        <v>494.56</v>
      </c>
      <c r="I14" s="11">
        <f t="shared" si="0"/>
        <v>494.11800000000005</v>
      </c>
      <c r="J14" s="3">
        <v>1E-4</v>
      </c>
      <c r="K14" s="11">
        <f t="shared" si="1"/>
        <v>0.16700000000003001</v>
      </c>
      <c r="L14" s="12">
        <f t="shared" si="2"/>
        <v>0.57971889739769378</v>
      </c>
      <c r="M14" s="12">
        <f t="shared" si="3"/>
        <v>2.8867513459481293E-5</v>
      </c>
      <c r="N14" s="12">
        <f t="shared" si="4"/>
        <v>5.0000000000000004E-6</v>
      </c>
      <c r="O14" s="12">
        <f t="shared" si="5"/>
        <v>1.4264910643516138E-2</v>
      </c>
      <c r="P14" s="12">
        <f t="shared" si="6"/>
        <v>0.57989437704981994</v>
      </c>
      <c r="Q14" s="12">
        <f t="shared" si="7"/>
        <v>2</v>
      </c>
      <c r="R14" s="12">
        <f t="shared" si="8"/>
        <v>1.1597887540996399</v>
      </c>
    </row>
    <row r="15" spans="1:18" x14ac:dyDescent="0.3">
      <c r="A15" s="13" t="s">
        <v>118</v>
      </c>
      <c r="B15" s="3">
        <v>989.44299999999998</v>
      </c>
      <c r="C15" t="s">
        <v>115</v>
      </c>
      <c r="D15" s="3">
        <v>996.6</v>
      </c>
      <c r="E15" s="3">
        <v>996.74</v>
      </c>
      <c r="F15" s="3">
        <v>996.66</v>
      </c>
      <c r="G15" s="3">
        <v>996.83</v>
      </c>
      <c r="H15" s="3">
        <v>996.92</v>
      </c>
      <c r="I15" s="11">
        <f t="shared" si="0"/>
        <v>996.75</v>
      </c>
      <c r="J15" s="3">
        <v>1E-3</v>
      </c>
      <c r="K15" s="11">
        <f t="shared" si="1"/>
        <v>7.3070000000000164</v>
      </c>
      <c r="L15" s="12">
        <f t="shared" si="2"/>
        <v>5.7445626465376515E-2</v>
      </c>
      <c r="M15" s="12">
        <f t="shared" si="3"/>
        <v>2.886751345948129E-4</v>
      </c>
      <c r="N15" s="12">
        <f t="shared" si="4"/>
        <v>5.0000000000000004E-6</v>
      </c>
      <c r="O15" s="12">
        <f t="shared" si="5"/>
        <v>2.8568532622581438E-2</v>
      </c>
      <c r="P15" s="12">
        <f t="shared" si="6"/>
        <v>6.4157964544866913E-2</v>
      </c>
      <c r="Q15" s="12">
        <f t="shared" si="7"/>
        <v>2</v>
      </c>
      <c r="R15" s="12">
        <f t="shared" si="8"/>
        <v>0.12831592908973383</v>
      </c>
    </row>
    <row r="16" spans="1:18" x14ac:dyDescent="0.3">
      <c r="A16" s="13" t="s">
        <v>119</v>
      </c>
      <c r="B16" s="3">
        <v>1986.89</v>
      </c>
      <c r="C16" t="s">
        <v>115</v>
      </c>
      <c r="D16" s="3">
        <v>2053.92</v>
      </c>
      <c r="E16" s="3">
        <v>2054.2600000000002</v>
      </c>
      <c r="F16" s="3">
        <v>2054.4299999999998</v>
      </c>
      <c r="G16" s="3">
        <v>2054.5700000000002</v>
      </c>
      <c r="H16" s="3">
        <v>2055.11</v>
      </c>
      <c r="I16" s="11">
        <f t="shared" si="0"/>
        <v>2054.4580000000001</v>
      </c>
      <c r="J16" s="3">
        <v>0.01</v>
      </c>
      <c r="K16" s="11">
        <f t="shared" si="1"/>
        <v>67.567999999999984</v>
      </c>
      <c r="L16" s="12">
        <f t="shared" si="2"/>
        <v>0.19584177286779844</v>
      </c>
      <c r="M16" s="12">
        <f t="shared" si="3"/>
        <v>2.886751345948129E-3</v>
      </c>
      <c r="N16" s="12">
        <f t="shared" si="4"/>
        <v>5.0000000000000004E-6</v>
      </c>
      <c r="O16" s="12">
        <f t="shared" si="5"/>
        <v>5.7362347320200673E-2</v>
      </c>
      <c r="P16" s="12">
        <f t="shared" si="6"/>
        <v>0.2040901081591634</v>
      </c>
      <c r="Q16" s="12">
        <f t="shared" si="7"/>
        <v>2</v>
      </c>
      <c r="R16" s="12">
        <f t="shared" si="8"/>
        <v>0.40818021631832679</v>
      </c>
    </row>
    <row r="17" spans="1:18" x14ac:dyDescent="0.3">
      <c r="A17" s="3"/>
      <c r="B17" s="3"/>
      <c r="D17" s="3"/>
      <c r="E17" s="3"/>
      <c r="F17" s="3"/>
      <c r="G17" s="3"/>
      <c r="H17" s="3"/>
      <c r="I17" s="11" t="str">
        <f t="shared" si="0"/>
        <v/>
      </c>
      <c r="J17" s="3"/>
      <c r="K17" s="11" t="str">
        <f t="shared" si="1"/>
        <v/>
      </c>
      <c r="L17" s="12">
        <f t="shared" si="2"/>
        <v>0</v>
      </c>
      <c r="M17" s="12">
        <f t="shared" si="3"/>
        <v>0</v>
      </c>
      <c r="N17" s="12">
        <f t="shared" si="4"/>
        <v>5.0000000000000004E-6</v>
      </c>
      <c r="O17" s="12">
        <f t="shared" si="5"/>
        <v>0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s="3"/>
      <c r="B18" s="3"/>
      <c r="D18" s="3"/>
      <c r="E18" s="3"/>
      <c r="F18" s="3"/>
      <c r="G18" s="3"/>
      <c r="H18" s="3"/>
      <c r="I18" s="11" t="str">
        <f t="shared" si="0"/>
        <v/>
      </c>
      <c r="J18" s="3"/>
      <c r="K18" s="11" t="str">
        <f t="shared" si="1"/>
        <v/>
      </c>
      <c r="L18" s="12">
        <f t="shared" si="2"/>
        <v>0</v>
      </c>
      <c r="M18" s="12">
        <f t="shared" si="3"/>
        <v>0</v>
      </c>
      <c r="N18" s="12">
        <f t="shared" si="4"/>
        <v>5.0000000000000004E-6</v>
      </c>
      <c r="O18" s="12">
        <f t="shared" si="5"/>
        <v>0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  <row r="19" spans="1:18" x14ac:dyDescent="0.3">
      <c r="A19" s="3"/>
      <c r="B19" s="3"/>
      <c r="D19" s="3"/>
      <c r="E19" s="3"/>
      <c r="F19" s="3"/>
      <c r="G19" s="3"/>
      <c r="H19" s="3"/>
      <c r="I19" s="11" t="str">
        <f t="shared" si="0"/>
        <v/>
      </c>
      <c r="J19" s="3"/>
      <c r="K19" s="11" t="str">
        <f t="shared" si="1"/>
        <v/>
      </c>
      <c r="L19" s="12">
        <f t="shared" si="2"/>
        <v>0</v>
      </c>
      <c r="M19" s="12">
        <f t="shared" si="3"/>
        <v>0</v>
      </c>
      <c r="N19" s="12">
        <f t="shared" si="4"/>
        <v>5.0000000000000004E-6</v>
      </c>
      <c r="O19" s="12">
        <f t="shared" si="5"/>
        <v>0</v>
      </c>
      <c r="P19" s="12" t="str">
        <f t="shared" si="6"/>
        <v/>
      </c>
      <c r="Q19" s="12" t="str">
        <f t="shared" si="7"/>
        <v/>
      </c>
      <c r="R19" s="12" t="str">
        <f t="shared" si="8"/>
        <v/>
      </c>
    </row>
    <row r="20" spans="1:18" x14ac:dyDescent="0.3">
      <c r="A20" s="3"/>
      <c r="B20" s="3"/>
      <c r="D20" s="3"/>
      <c r="E20" s="3"/>
      <c r="F20" s="3"/>
      <c r="G20" s="3"/>
      <c r="H20" s="3"/>
      <c r="I20" s="11" t="str">
        <f t="shared" si="0"/>
        <v/>
      </c>
      <c r="J20" s="3"/>
      <c r="K20" s="11" t="str">
        <f t="shared" si="1"/>
        <v/>
      </c>
      <c r="L20" s="12">
        <f t="shared" si="2"/>
        <v>0</v>
      </c>
      <c r="M20" s="12">
        <f t="shared" si="3"/>
        <v>0</v>
      </c>
      <c r="N20" s="12">
        <f t="shared" si="4"/>
        <v>5.0000000000000004E-6</v>
      </c>
      <c r="O20" s="12">
        <f t="shared" si="5"/>
        <v>0</v>
      </c>
      <c r="P20" s="12" t="str">
        <f t="shared" si="6"/>
        <v/>
      </c>
      <c r="Q20" s="12" t="str">
        <f t="shared" si="7"/>
        <v/>
      </c>
      <c r="R20" s="12" t="str">
        <f t="shared" si="8"/>
        <v/>
      </c>
    </row>
    <row r="21" spans="1:18" x14ac:dyDescent="0.3">
      <c r="A21" s="3"/>
      <c r="B21" s="3"/>
      <c r="D21" s="3"/>
      <c r="E21" s="3"/>
      <c r="F21" s="3"/>
      <c r="G21" s="3"/>
      <c r="H21" s="3"/>
      <c r="I21" s="11" t="str">
        <f t="shared" si="0"/>
        <v/>
      </c>
      <c r="J21" s="3"/>
      <c r="K21" s="11" t="str">
        <f t="shared" si="1"/>
        <v/>
      </c>
      <c r="L21" s="12">
        <f t="shared" si="2"/>
        <v>0</v>
      </c>
      <c r="M21" s="12">
        <f t="shared" si="3"/>
        <v>0</v>
      </c>
      <c r="N21" s="12">
        <f t="shared" si="4"/>
        <v>5.0000000000000004E-6</v>
      </c>
      <c r="O21" s="12">
        <f t="shared" si="5"/>
        <v>0</v>
      </c>
      <c r="P21" s="12" t="str">
        <f t="shared" si="6"/>
        <v/>
      </c>
      <c r="Q21" s="12" t="str">
        <f t="shared" si="7"/>
        <v/>
      </c>
      <c r="R21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C9E58-9D8B-4E4D-B68C-FA64F5508E34}">
  <dimension ref="A1:S21"/>
  <sheetViews>
    <sheetView workbookViewId="0">
      <selection sqref="A1:S1"/>
    </sheetView>
  </sheetViews>
  <sheetFormatPr baseColWidth="10" defaultColWidth="11.44140625" defaultRowHeight="14.4" x14ac:dyDescent="0.3"/>
  <cols>
    <col min="1" max="1" width="15.33203125" customWidth="1"/>
    <col min="2" max="4" width="16.109375" customWidth="1"/>
    <col min="5" max="9" width="14.33203125" customWidth="1"/>
    <col min="10" max="12" width="17.109375" customWidth="1"/>
    <col min="13" max="19" width="14.33203125" customWidth="1"/>
  </cols>
  <sheetData>
    <row r="1" spans="1:19" ht="18" x14ac:dyDescent="0.35">
      <c r="A1" s="35" t="s">
        <v>120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3" spans="1:19" x14ac:dyDescent="0.3">
      <c r="A3" s="37" t="s">
        <v>46</v>
      </c>
      <c r="B3" s="38"/>
      <c r="C3" s="38"/>
      <c r="D3" s="38"/>
      <c r="E3" s="38"/>
      <c r="F3" s="38"/>
    </row>
    <row r="4" spans="1:19" x14ac:dyDescent="0.3">
      <c r="A4" t="s">
        <v>47</v>
      </c>
      <c r="C4" s="3">
        <v>100</v>
      </c>
    </row>
    <row r="5" spans="1:19" x14ac:dyDescent="0.3">
      <c r="A5" t="s">
        <v>111</v>
      </c>
      <c r="C5" s="3">
        <v>50</v>
      </c>
    </row>
    <row r="6" spans="1:19" x14ac:dyDescent="0.3">
      <c r="A6" t="s">
        <v>106</v>
      </c>
      <c r="C6" s="3">
        <v>5.0000000000000002E-5</v>
      </c>
      <c r="D6" t="s">
        <v>112</v>
      </c>
    </row>
    <row r="7" spans="1:19" x14ac:dyDescent="0.3">
      <c r="A7" t="s">
        <v>51</v>
      </c>
      <c r="C7" s="3">
        <v>2</v>
      </c>
    </row>
    <row r="9" spans="1:19" x14ac:dyDescent="0.3">
      <c r="A9" s="37" t="s">
        <v>107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</row>
    <row r="10" spans="1:19" x14ac:dyDescent="0.3">
      <c r="A10" s="8" t="s">
        <v>53</v>
      </c>
      <c r="B10" s="8" t="s">
        <v>54</v>
      </c>
      <c r="C10" s="8" t="s">
        <v>108</v>
      </c>
      <c r="D10" s="8" t="s">
        <v>55</v>
      </c>
      <c r="E10" s="8" t="s">
        <v>56</v>
      </c>
      <c r="F10" s="8" t="s">
        <v>57</v>
      </c>
      <c r="G10" s="8" t="s">
        <v>58</v>
      </c>
      <c r="H10" s="8" t="s">
        <v>59</v>
      </c>
      <c r="I10" s="8" t="s">
        <v>60</v>
      </c>
      <c r="J10" s="8" t="s">
        <v>61</v>
      </c>
      <c r="K10" s="8" t="s">
        <v>62</v>
      </c>
      <c r="L10" s="8" t="s">
        <v>63</v>
      </c>
      <c r="M10" s="8" t="s">
        <v>64</v>
      </c>
      <c r="N10" s="8" t="s">
        <v>65</v>
      </c>
      <c r="O10" s="8" t="s">
        <v>66</v>
      </c>
      <c r="P10" s="8" t="s">
        <v>67</v>
      </c>
      <c r="Q10" s="8" t="s">
        <v>68</v>
      </c>
      <c r="R10" s="8" t="s">
        <v>69</v>
      </c>
      <c r="S10" s="8" t="s">
        <v>70</v>
      </c>
    </row>
    <row r="12" spans="1:19" x14ac:dyDescent="0.3">
      <c r="A12" s="3" t="s">
        <v>117</v>
      </c>
      <c r="B12" s="3">
        <v>0.5</v>
      </c>
      <c r="C12" s="3">
        <v>60</v>
      </c>
      <c r="D12" t="s">
        <v>112</v>
      </c>
      <c r="E12" s="3"/>
      <c r="F12" s="3"/>
      <c r="G12" s="3"/>
      <c r="H12" s="3"/>
      <c r="I12" s="3"/>
      <c r="J12" s="11" t="str">
        <f t="shared" ref="J12:J21" si="0">IF(COUNT(E12:I12)&gt;0,AVERAGE(E12:I12),"")</f>
        <v/>
      </c>
      <c r="K12" s="3">
        <v>1E-3</v>
      </c>
      <c r="L12" s="11" t="str">
        <f t="shared" ref="L12:L21" si="1">IF(J12&lt;&gt;"",J12-B12,"")</f>
        <v/>
      </c>
      <c r="M12" s="12">
        <f t="shared" ref="M12:M21" si="2">IF(COUNT(E12:I12)&gt;1,STDEV(E12:I12)/SQRT(COUNT(E12:I12)),0)</f>
        <v>0</v>
      </c>
      <c r="N12" s="12">
        <f t="shared" ref="N12:N21" si="3">IF(K12&lt;&gt;"",K12/(2*SQRT(3)),0)</f>
        <v>2.886751345948129E-4</v>
      </c>
      <c r="O12" s="12">
        <f t="shared" ref="O12:O21" si="4">IF($C$6&lt;&gt;"",$C$6/$C$7,0)</f>
        <v>2.5000000000000001E-5</v>
      </c>
      <c r="P12" s="12">
        <f t="shared" ref="P12:P21" si="5">IF(B12&lt;&gt;"",($C$4*0.000001*ABS(B12)+$C$5*0.000001)/SQRT(3),0)</f>
        <v>5.7735026918962572E-5</v>
      </c>
      <c r="Q12" s="12" t="str">
        <f t="shared" ref="Q12:Q21" si="6">IF(J12&lt;&gt;"",SQRT(M12^2+N12^2+O12^2+P12^2),"")</f>
        <v/>
      </c>
      <c r="R12" s="12" t="str">
        <f t="shared" ref="R12:R21" si="7">IF(Q12&lt;&gt;"",2,"")</f>
        <v/>
      </c>
      <c r="S12" s="12" t="str">
        <f t="shared" ref="S12:S21" si="8">IF(Q12&lt;&gt;"",R12*Q12,"")</f>
        <v/>
      </c>
    </row>
    <row r="13" spans="1:19" x14ac:dyDescent="0.3">
      <c r="A13" s="3" t="s">
        <v>117</v>
      </c>
      <c r="B13" s="3">
        <v>0.5</v>
      </c>
      <c r="C13" s="3">
        <v>1000</v>
      </c>
      <c r="D13" t="s">
        <v>112</v>
      </c>
      <c r="E13" s="3"/>
      <c r="F13" s="3"/>
      <c r="G13" s="3"/>
      <c r="H13" s="3"/>
      <c r="I13" s="3"/>
      <c r="J13" s="11" t="str">
        <f t="shared" si="0"/>
        <v/>
      </c>
      <c r="K13" s="3">
        <v>1E-3</v>
      </c>
      <c r="L13" s="11" t="str">
        <f t="shared" si="1"/>
        <v/>
      </c>
      <c r="M13" s="12">
        <f t="shared" si="2"/>
        <v>0</v>
      </c>
      <c r="N13" s="12">
        <f t="shared" si="3"/>
        <v>2.886751345948129E-4</v>
      </c>
      <c r="O13" s="12">
        <f t="shared" si="4"/>
        <v>2.5000000000000001E-5</v>
      </c>
      <c r="P13" s="12">
        <f t="shared" si="5"/>
        <v>5.7735026918962572E-5</v>
      </c>
      <c r="Q13" s="12" t="str">
        <f t="shared" si="6"/>
        <v/>
      </c>
      <c r="R13" s="12" t="str">
        <f t="shared" si="7"/>
        <v/>
      </c>
      <c r="S13" s="12" t="str">
        <f t="shared" si="8"/>
        <v/>
      </c>
    </row>
    <row r="14" spans="1:19" x14ac:dyDescent="0.3">
      <c r="A14" s="3"/>
      <c r="B14" s="3"/>
      <c r="C14" s="3"/>
      <c r="E14" s="3"/>
      <c r="F14" s="3"/>
      <c r="G14" s="3"/>
      <c r="H14" s="3"/>
      <c r="I14" s="3"/>
      <c r="J14" s="11" t="str">
        <f t="shared" si="0"/>
        <v/>
      </c>
      <c r="K14" s="3"/>
      <c r="L14" s="11" t="str">
        <f t="shared" si="1"/>
        <v/>
      </c>
      <c r="M14" s="12">
        <f t="shared" si="2"/>
        <v>0</v>
      </c>
      <c r="N14" s="12">
        <f t="shared" si="3"/>
        <v>0</v>
      </c>
      <c r="O14" s="12">
        <f t="shared" si="4"/>
        <v>2.5000000000000001E-5</v>
      </c>
      <c r="P14" s="12">
        <f t="shared" si="5"/>
        <v>0</v>
      </c>
      <c r="Q14" s="12" t="str">
        <f t="shared" si="6"/>
        <v/>
      </c>
      <c r="R14" s="12" t="str">
        <f t="shared" si="7"/>
        <v/>
      </c>
      <c r="S14" s="12" t="str">
        <f t="shared" si="8"/>
        <v/>
      </c>
    </row>
    <row r="15" spans="1:19" x14ac:dyDescent="0.3">
      <c r="A15" s="3"/>
      <c r="B15" s="3"/>
      <c r="C15" s="3"/>
      <c r="E15" s="3"/>
      <c r="F15" s="3"/>
      <c r="G15" s="3"/>
      <c r="H15" s="3"/>
      <c r="I15" s="3"/>
      <c r="J15" s="11" t="str">
        <f t="shared" si="0"/>
        <v/>
      </c>
      <c r="K15" s="3"/>
      <c r="L15" s="11" t="str">
        <f t="shared" si="1"/>
        <v/>
      </c>
      <c r="M15" s="12">
        <f t="shared" si="2"/>
        <v>0</v>
      </c>
      <c r="N15" s="12">
        <f t="shared" si="3"/>
        <v>0</v>
      </c>
      <c r="O15" s="12">
        <f t="shared" si="4"/>
        <v>2.5000000000000001E-5</v>
      </c>
      <c r="P15" s="12">
        <f t="shared" si="5"/>
        <v>0</v>
      </c>
      <c r="Q15" s="12" t="str">
        <f t="shared" si="6"/>
        <v/>
      </c>
      <c r="R15" s="12" t="str">
        <f t="shared" si="7"/>
        <v/>
      </c>
      <c r="S15" s="12" t="str">
        <f t="shared" si="8"/>
        <v/>
      </c>
    </row>
    <row r="16" spans="1:19" x14ac:dyDescent="0.3">
      <c r="A16" s="3"/>
      <c r="B16" s="3"/>
      <c r="C16" s="3"/>
      <c r="E16" s="3"/>
      <c r="F16" s="3"/>
      <c r="G16" s="3"/>
      <c r="H16" s="3"/>
      <c r="I16" s="3"/>
      <c r="J16" s="11" t="str">
        <f t="shared" si="0"/>
        <v/>
      </c>
      <c r="K16" s="3"/>
      <c r="L16" s="11" t="str">
        <f t="shared" si="1"/>
        <v/>
      </c>
      <c r="M16" s="12">
        <f t="shared" si="2"/>
        <v>0</v>
      </c>
      <c r="N16" s="12">
        <f t="shared" si="3"/>
        <v>0</v>
      </c>
      <c r="O16" s="12">
        <f t="shared" si="4"/>
        <v>2.5000000000000001E-5</v>
      </c>
      <c r="P16" s="12">
        <f t="shared" si="5"/>
        <v>0</v>
      </c>
      <c r="Q16" s="12" t="str">
        <f t="shared" si="6"/>
        <v/>
      </c>
      <c r="R16" s="12" t="str">
        <f t="shared" si="7"/>
        <v/>
      </c>
      <c r="S16" s="12" t="str">
        <f t="shared" si="8"/>
        <v/>
      </c>
    </row>
    <row r="17" spans="1:19" x14ac:dyDescent="0.3">
      <c r="A17" s="3"/>
      <c r="B17" s="3"/>
      <c r="C17" s="3"/>
      <c r="E17" s="3"/>
      <c r="F17" s="3"/>
      <c r="G17" s="3"/>
      <c r="H17" s="3"/>
      <c r="I17" s="3"/>
      <c r="J17" s="11" t="str">
        <f t="shared" si="0"/>
        <v/>
      </c>
      <c r="K17" s="3"/>
      <c r="L17" s="11" t="str">
        <f t="shared" si="1"/>
        <v/>
      </c>
      <c r="M17" s="12">
        <f t="shared" si="2"/>
        <v>0</v>
      </c>
      <c r="N17" s="12">
        <f t="shared" si="3"/>
        <v>0</v>
      </c>
      <c r="O17" s="12">
        <f t="shared" si="4"/>
        <v>2.5000000000000001E-5</v>
      </c>
      <c r="P17" s="12">
        <f t="shared" si="5"/>
        <v>0</v>
      </c>
      <c r="Q17" s="12" t="str">
        <f t="shared" si="6"/>
        <v/>
      </c>
      <c r="R17" s="12" t="str">
        <f t="shared" si="7"/>
        <v/>
      </c>
      <c r="S17" s="12" t="str">
        <f t="shared" si="8"/>
        <v/>
      </c>
    </row>
    <row r="18" spans="1:19" x14ac:dyDescent="0.3">
      <c r="A18" s="3"/>
      <c r="B18" s="3"/>
      <c r="C18" s="3"/>
      <c r="E18" s="3"/>
      <c r="F18" s="3"/>
      <c r="G18" s="3"/>
      <c r="H18" s="3"/>
      <c r="I18" s="3"/>
      <c r="J18" s="11" t="str">
        <f t="shared" si="0"/>
        <v/>
      </c>
      <c r="K18" s="3"/>
      <c r="L18" s="11" t="str">
        <f t="shared" si="1"/>
        <v/>
      </c>
      <c r="M18" s="12">
        <f t="shared" si="2"/>
        <v>0</v>
      </c>
      <c r="N18" s="12">
        <f t="shared" si="3"/>
        <v>0</v>
      </c>
      <c r="O18" s="12">
        <f t="shared" si="4"/>
        <v>2.5000000000000001E-5</v>
      </c>
      <c r="P18" s="12">
        <f t="shared" si="5"/>
        <v>0</v>
      </c>
      <c r="Q18" s="12" t="str">
        <f t="shared" si="6"/>
        <v/>
      </c>
      <c r="R18" s="12" t="str">
        <f t="shared" si="7"/>
        <v/>
      </c>
      <c r="S18" s="12" t="str">
        <f t="shared" si="8"/>
        <v/>
      </c>
    </row>
    <row r="19" spans="1:19" x14ac:dyDescent="0.3">
      <c r="A19" s="3"/>
      <c r="B19" s="3"/>
      <c r="C19" s="3"/>
      <c r="E19" s="3"/>
      <c r="F19" s="3"/>
      <c r="G19" s="3"/>
      <c r="H19" s="3"/>
      <c r="I19" s="3"/>
      <c r="J19" s="11" t="str">
        <f t="shared" si="0"/>
        <v/>
      </c>
      <c r="K19" s="3"/>
      <c r="L19" s="11" t="str">
        <f t="shared" si="1"/>
        <v/>
      </c>
      <c r="M19" s="12">
        <f t="shared" si="2"/>
        <v>0</v>
      </c>
      <c r="N19" s="12">
        <f t="shared" si="3"/>
        <v>0</v>
      </c>
      <c r="O19" s="12">
        <f t="shared" si="4"/>
        <v>2.5000000000000001E-5</v>
      </c>
      <c r="P19" s="12">
        <f t="shared" si="5"/>
        <v>0</v>
      </c>
      <c r="Q19" s="12" t="str">
        <f t="shared" si="6"/>
        <v/>
      </c>
      <c r="R19" s="12" t="str">
        <f t="shared" si="7"/>
        <v/>
      </c>
      <c r="S19" s="12" t="str">
        <f t="shared" si="8"/>
        <v/>
      </c>
    </row>
    <row r="20" spans="1:19" x14ac:dyDescent="0.3">
      <c r="A20" s="3"/>
      <c r="B20" s="3"/>
      <c r="C20" s="3"/>
      <c r="E20" s="3"/>
      <c r="F20" s="3"/>
      <c r="G20" s="3"/>
      <c r="H20" s="3"/>
      <c r="I20" s="3"/>
      <c r="J20" s="11" t="str">
        <f t="shared" si="0"/>
        <v/>
      </c>
      <c r="K20" s="3"/>
      <c r="L20" s="11" t="str">
        <f t="shared" si="1"/>
        <v/>
      </c>
      <c r="M20" s="12">
        <f t="shared" si="2"/>
        <v>0</v>
      </c>
      <c r="N20" s="12">
        <f t="shared" si="3"/>
        <v>0</v>
      </c>
      <c r="O20" s="12">
        <f t="shared" si="4"/>
        <v>2.5000000000000001E-5</v>
      </c>
      <c r="P20" s="12">
        <f t="shared" si="5"/>
        <v>0</v>
      </c>
      <c r="Q20" s="12" t="str">
        <f t="shared" si="6"/>
        <v/>
      </c>
      <c r="R20" s="12" t="str">
        <f t="shared" si="7"/>
        <v/>
      </c>
      <c r="S20" s="12" t="str">
        <f t="shared" si="8"/>
        <v/>
      </c>
    </row>
    <row r="21" spans="1:19" x14ac:dyDescent="0.3">
      <c r="A21" s="3"/>
      <c r="B21" s="3"/>
      <c r="C21" s="3"/>
      <c r="E21" s="3"/>
      <c r="F21" s="3"/>
      <c r="G21" s="3"/>
      <c r="H21" s="3"/>
      <c r="I21" s="3"/>
      <c r="J21" s="11" t="str">
        <f t="shared" si="0"/>
        <v/>
      </c>
      <c r="K21" s="3"/>
      <c r="L21" s="11" t="str">
        <f t="shared" si="1"/>
        <v/>
      </c>
      <c r="M21" s="12">
        <f t="shared" si="2"/>
        <v>0</v>
      </c>
      <c r="N21" s="12">
        <f t="shared" si="3"/>
        <v>0</v>
      </c>
      <c r="O21" s="12">
        <f t="shared" si="4"/>
        <v>2.5000000000000001E-5</v>
      </c>
      <c r="P21" s="12">
        <f t="shared" si="5"/>
        <v>0</v>
      </c>
      <c r="Q21" s="12" t="str">
        <f t="shared" si="6"/>
        <v/>
      </c>
      <c r="R21" s="12" t="str">
        <f t="shared" si="7"/>
        <v/>
      </c>
      <c r="S21" s="12" t="str">
        <f t="shared" si="8"/>
        <v/>
      </c>
    </row>
  </sheetData>
  <mergeCells count="3">
    <mergeCell ref="A1:S1"/>
    <mergeCell ref="A3:F3"/>
    <mergeCell ref="A9:S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28A9A-FB3D-4144-BB74-15A6A0FF5912}">
  <dimension ref="A1:R21"/>
  <sheetViews>
    <sheetView workbookViewId="0"/>
  </sheetViews>
  <sheetFormatPr baseColWidth="10" defaultColWidth="11.44140625" defaultRowHeight="14.4" x14ac:dyDescent="0.3"/>
  <cols>
    <col min="1" max="1" width="15.33203125" customWidth="1"/>
    <col min="2" max="3" width="19" customWidth="1"/>
    <col min="4" max="8" width="17.109375" customWidth="1"/>
    <col min="9" max="11" width="19" customWidth="1"/>
    <col min="12" max="18" width="15.33203125" customWidth="1"/>
  </cols>
  <sheetData>
    <row r="1" spans="1:18" ht="18" x14ac:dyDescent="0.35">
      <c r="A1" s="35" t="s">
        <v>121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</row>
    <row r="3" spans="1:18" x14ac:dyDescent="0.3">
      <c r="A3" s="37" t="s">
        <v>46</v>
      </c>
      <c r="B3" s="38"/>
      <c r="C3" s="38"/>
      <c r="D3" s="38"/>
      <c r="E3" s="38"/>
      <c r="F3" s="38"/>
    </row>
    <row r="4" spans="1:18" x14ac:dyDescent="0.3">
      <c r="A4" t="s">
        <v>47</v>
      </c>
      <c r="C4" s="3">
        <v>30</v>
      </c>
    </row>
    <row r="5" spans="1:18" x14ac:dyDescent="0.3">
      <c r="A5" t="s">
        <v>122</v>
      </c>
      <c r="C5" s="3">
        <v>5</v>
      </c>
    </row>
    <row r="6" spans="1:18" x14ac:dyDescent="0.3">
      <c r="A6" t="s">
        <v>106</v>
      </c>
      <c r="C6" s="3">
        <v>1E-3</v>
      </c>
      <c r="D6" t="s">
        <v>123</v>
      </c>
    </row>
    <row r="7" spans="1:18" x14ac:dyDescent="0.3">
      <c r="A7" t="s">
        <v>51</v>
      </c>
      <c r="C7" s="3">
        <v>2</v>
      </c>
    </row>
    <row r="9" spans="1:18" x14ac:dyDescent="0.3">
      <c r="A9" s="37" t="s">
        <v>107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</row>
    <row r="10" spans="1:18" x14ac:dyDescent="0.3">
      <c r="A10" s="8" t="s">
        <v>53</v>
      </c>
      <c r="B10" s="8" t="s">
        <v>54</v>
      </c>
      <c r="C10" s="8" t="s">
        <v>55</v>
      </c>
      <c r="D10" s="8" t="s">
        <v>56</v>
      </c>
      <c r="E10" s="8" t="s">
        <v>57</v>
      </c>
      <c r="F10" s="8" t="s">
        <v>58</v>
      </c>
      <c r="G10" s="8" t="s">
        <v>59</v>
      </c>
      <c r="H10" s="8" t="s">
        <v>60</v>
      </c>
      <c r="I10" s="8" t="s">
        <v>61</v>
      </c>
      <c r="J10" s="8" t="s">
        <v>62</v>
      </c>
      <c r="K10" s="8" t="s">
        <v>63</v>
      </c>
      <c r="L10" s="8" t="s">
        <v>64</v>
      </c>
      <c r="M10" s="8" t="s">
        <v>65</v>
      </c>
      <c r="N10" s="8" t="s">
        <v>66</v>
      </c>
      <c r="O10" s="8" t="s">
        <v>67</v>
      </c>
      <c r="P10" s="8" t="s">
        <v>68</v>
      </c>
      <c r="Q10" s="8" t="s">
        <v>69</v>
      </c>
      <c r="R10" s="8" t="s">
        <v>70</v>
      </c>
    </row>
    <row r="12" spans="1:18" x14ac:dyDescent="0.3">
      <c r="A12" s="3" t="s">
        <v>124</v>
      </c>
      <c r="B12" s="3">
        <v>500</v>
      </c>
      <c r="C12" t="s">
        <v>123</v>
      </c>
      <c r="D12" s="3"/>
      <c r="E12" s="3"/>
      <c r="F12" s="3"/>
      <c r="G12" s="3"/>
      <c r="H12" s="3"/>
      <c r="I12" s="14" t="str">
        <f t="shared" ref="I12:I21" si="0">IF(COUNT(D12:H12)&gt;0,AVERAGE(D12:H12),"")</f>
        <v/>
      </c>
      <c r="J12" s="3">
        <v>0.1</v>
      </c>
      <c r="K12" s="14" t="str">
        <f t="shared" ref="K12:K21" si="1">IF(I12&lt;&gt;"",I12-B12,"")</f>
        <v/>
      </c>
      <c r="L12" s="12">
        <f t="shared" ref="L12:L21" si="2">IF(COUNT(D12:H12)&gt;1,STDEV(D12:H12)/SQRT(COUNT(D12:H12)),0)</f>
        <v>0</v>
      </c>
      <c r="M12" s="12">
        <f t="shared" ref="M12:M21" si="3">IF(J12&lt;&gt;"",J12/(2*SQRT(3)),0)</f>
        <v>2.8867513459481291E-2</v>
      </c>
      <c r="N12" s="12">
        <f t="shared" ref="N12:N21" si="4">IF($C$6&lt;&gt;"",$C$6/$C$7,0)</f>
        <v>5.0000000000000001E-4</v>
      </c>
      <c r="O12" s="12">
        <f t="shared" ref="O12:O21" si="5">IF(B12&lt;&gt;"",($C$4*0.000001*ABS(B12)+$C$5*0.001)/SQRT(3),0)</f>
        <v>1.1547005383792516E-2</v>
      </c>
      <c r="P12" s="12" t="str">
        <f t="shared" ref="P12:P21" si="6">IF(I12&lt;&gt;"",SQRT(L12^2+M12^2+N12^2+O12^2),"")</f>
        <v/>
      </c>
      <c r="Q12" s="12" t="str">
        <f t="shared" ref="Q12:Q21" si="7">IF(P12&lt;&gt;"",2,"")</f>
        <v/>
      </c>
      <c r="R12" s="12" t="str">
        <f t="shared" ref="R12:R21" si="8">IF(P12&lt;&gt;"",Q12*P12,"")</f>
        <v/>
      </c>
    </row>
    <row r="13" spans="1:18" x14ac:dyDescent="0.3">
      <c r="A13" s="3" t="s">
        <v>125</v>
      </c>
      <c r="B13" s="3">
        <v>5000</v>
      </c>
      <c r="C13" t="s">
        <v>123</v>
      </c>
      <c r="D13" s="3"/>
      <c r="E13" s="3"/>
      <c r="F13" s="3"/>
      <c r="G13" s="3"/>
      <c r="H13" s="3"/>
      <c r="I13" s="14" t="str">
        <f t="shared" si="0"/>
        <v/>
      </c>
      <c r="J13" s="3">
        <v>1</v>
      </c>
      <c r="K13" s="14" t="str">
        <f t="shared" si="1"/>
        <v/>
      </c>
      <c r="L13" s="12">
        <f t="shared" si="2"/>
        <v>0</v>
      </c>
      <c r="M13" s="12">
        <f t="shared" si="3"/>
        <v>0.28867513459481292</v>
      </c>
      <c r="N13" s="12">
        <f t="shared" si="4"/>
        <v>5.0000000000000001E-4</v>
      </c>
      <c r="O13" s="12">
        <f t="shared" si="5"/>
        <v>8.9489291724392003E-2</v>
      </c>
      <c r="P13" s="12" t="str">
        <f t="shared" si="6"/>
        <v/>
      </c>
      <c r="Q13" s="12" t="str">
        <f t="shared" si="7"/>
        <v/>
      </c>
      <c r="R13" s="12" t="str">
        <f t="shared" si="8"/>
        <v/>
      </c>
    </row>
    <row r="14" spans="1:18" x14ac:dyDescent="0.3">
      <c r="A14" s="3" t="s">
        <v>126</v>
      </c>
      <c r="B14" s="3">
        <v>50000</v>
      </c>
      <c r="C14" t="s">
        <v>123</v>
      </c>
      <c r="D14" s="3"/>
      <c r="E14" s="3"/>
      <c r="F14" s="3"/>
      <c r="G14" s="3"/>
      <c r="H14" s="3"/>
      <c r="I14" s="14" t="str">
        <f t="shared" si="0"/>
        <v/>
      </c>
      <c r="J14" s="3">
        <v>10</v>
      </c>
      <c r="K14" s="14" t="str">
        <f t="shared" si="1"/>
        <v/>
      </c>
      <c r="L14" s="12">
        <f t="shared" si="2"/>
        <v>0</v>
      </c>
      <c r="M14" s="12">
        <f t="shared" si="3"/>
        <v>2.8867513459481291</v>
      </c>
      <c r="N14" s="12">
        <f t="shared" si="4"/>
        <v>5.0000000000000001E-4</v>
      </c>
      <c r="O14" s="12">
        <f t="shared" si="5"/>
        <v>0.86891215513038667</v>
      </c>
      <c r="P14" s="12" t="str">
        <f t="shared" si="6"/>
        <v/>
      </c>
      <c r="Q14" s="12" t="str">
        <f t="shared" si="7"/>
        <v/>
      </c>
      <c r="R14" s="12" t="str">
        <f t="shared" si="8"/>
        <v/>
      </c>
    </row>
    <row r="15" spans="1:18" x14ac:dyDescent="0.3">
      <c r="A15" s="3" t="s">
        <v>127</v>
      </c>
      <c r="B15" s="3">
        <v>500000</v>
      </c>
      <c r="C15" t="s">
        <v>123</v>
      </c>
      <c r="D15" s="3"/>
      <c r="E15" s="3"/>
      <c r="F15" s="3"/>
      <c r="G15" s="3"/>
      <c r="H15" s="3"/>
      <c r="I15" s="14" t="str">
        <f t="shared" si="0"/>
        <v/>
      </c>
      <c r="J15" s="3">
        <v>100</v>
      </c>
      <c r="K15" s="14" t="str">
        <f t="shared" si="1"/>
        <v/>
      </c>
      <c r="L15" s="12">
        <f t="shared" si="2"/>
        <v>0</v>
      </c>
      <c r="M15" s="12">
        <f t="shared" si="3"/>
        <v>28.867513459481291</v>
      </c>
      <c r="N15" s="12">
        <f t="shared" si="4"/>
        <v>5.0000000000000001E-4</v>
      </c>
      <c r="O15" s="12">
        <f t="shared" si="5"/>
        <v>8.6631407891903347</v>
      </c>
      <c r="P15" s="12" t="str">
        <f t="shared" si="6"/>
        <v/>
      </c>
      <c r="Q15" s="12" t="str">
        <f t="shared" si="7"/>
        <v/>
      </c>
      <c r="R15" s="12" t="str">
        <f t="shared" si="8"/>
        <v/>
      </c>
    </row>
    <row r="16" spans="1:18" x14ac:dyDescent="0.3">
      <c r="A16" s="3" t="s">
        <v>128</v>
      </c>
      <c r="B16" s="3">
        <v>5000000</v>
      </c>
      <c r="C16" t="s">
        <v>123</v>
      </c>
      <c r="D16" s="3"/>
      <c r="E16" s="3"/>
      <c r="F16" s="3"/>
      <c r="G16" s="3"/>
      <c r="H16" s="3"/>
      <c r="I16" s="14" t="str">
        <f t="shared" si="0"/>
        <v/>
      </c>
      <c r="J16" s="3">
        <v>1000</v>
      </c>
      <c r="K16" s="14" t="str">
        <f t="shared" si="1"/>
        <v/>
      </c>
      <c r="L16" s="12">
        <f t="shared" si="2"/>
        <v>0</v>
      </c>
      <c r="M16" s="12">
        <f t="shared" si="3"/>
        <v>288.6751345948129</v>
      </c>
      <c r="N16" s="12">
        <f t="shared" si="4"/>
        <v>5.0000000000000001E-4</v>
      </c>
      <c r="O16" s="12">
        <f t="shared" si="5"/>
        <v>86.605427129789817</v>
      </c>
      <c r="P16" s="12" t="str">
        <f t="shared" si="6"/>
        <v/>
      </c>
      <c r="Q16" s="12" t="str">
        <f t="shared" si="7"/>
        <v/>
      </c>
      <c r="R16" s="12" t="str">
        <f t="shared" si="8"/>
        <v/>
      </c>
    </row>
    <row r="17" spans="1:18" x14ac:dyDescent="0.3">
      <c r="A17" s="3"/>
      <c r="B17" s="3"/>
      <c r="D17" s="3"/>
      <c r="E17" s="3"/>
      <c r="F17" s="3"/>
      <c r="G17" s="3"/>
      <c r="H17" s="3"/>
      <c r="I17" s="14" t="str">
        <f t="shared" si="0"/>
        <v/>
      </c>
      <c r="J17" s="3"/>
      <c r="K17" s="14" t="str">
        <f t="shared" si="1"/>
        <v/>
      </c>
      <c r="L17" s="12">
        <f t="shared" si="2"/>
        <v>0</v>
      </c>
      <c r="M17" s="12">
        <f t="shared" si="3"/>
        <v>0</v>
      </c>
      <c r="N17" s="12">
        <f t="shared" si="4"/>
        <v>5.0000000000000001E-4</v>
      </c>
      <c r="O17" s="12">
        <f t="shared" si="5"/>
        <v>0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s="3"/>
      <c r="B18" s="3"/>
      <c r="D18" s="3"/>
      <c r="E18" s="3"/>
      <c r="F18" s="3"/>
      <c r="G18" s="3"/>
      <c r="H18" s="3"/>
      <c r="I18" s="14" t="str">
        <f t="shared" si="0"/>
        <v/>
      </c>
      <c r="J18" s="3"/>
      <c r="K18" s="14" t="str">
        <f t="shared" si="1"/>
        <v/>
      </c>
      <c r="L18" s="12">
        <f t="shared" si="2"/>
        <v>0</v>
      </c>
      <c r="M18" s="12">
        <f t="shared" si="3"/>
        <v>0</v>
      </c>
      <c r="N18" s="12">
        <f t="shared" si="4"/>
        <v>5.0000000000000001E-4</v>
      </c>
      <c r="O18" s="12">
        <f t="shared" si="5"/>
        <v>0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  <row r="19" spans="1:18" x14ac:dyDescent="0.3">
      <c r="A19" s="3"/>
      <c r="B19" s="3"/>
      <c r="D19" s="3"/>
      <c r="E19" s="3"/>
      <c r="F19" s="3"/>
      <c r="G19" s="3"/>
      <c r="H19" s="3"/>
      <c r="I19" s="14" t="str">
        <f t="shared" si="0"/>
        <v/>
      </c>
      <c r="J19" s="3"/>
      <c r="K19" s="14" t="str">
        <f t="shared" si="1"/>
        <v/>
      </c>
      <c r="L19" s="12">
        <f t="shared" si="2"/>
        <v>0</v>
      </c>
      <c r="M19" s="12">
        <f t="shared" si="3"/>
        <v>0</v>
      </c>
      <c r="N19" s="12">
        <f t="shared" si="4"/>
        <v>5.0000000000000001E-4</v>
      </c>
      <c r="O19" s="12">
        <f t="shared" si="5"/>
        <v>0</v>
      </c>
      <c r="P19" s="12" t="str">
        <f t="shared" si="6"/>
        <v/>
      </c>
      <c r="Q19" s="12" t="str">
        <f t="shared" si="7"/>
        <v/>
      </c>
      <c r="R19" s="12" t="str">
        <f t="shared" si="8"/>
        <v/>
      </c>
    </row>
    <row r="20" spans="1:18" x14ac:dyDescent="0.3">
      <c r="A20" s="3"/>
      <c r="B20" s="3"/>
      <c r="D20" s="3"/>
      <c r="E20" s="3"/>
      <c r="F20" s="3"/>
      <c r="G20" s="3"/>
      <c r="H20" s="3"/>
      <c r="I20" s="14" t="str">
        <f t="shared" si="0"/>
        <v/>
      </c>
      <c r="J20" s="3"/>
      <c r="K20" s="14" t="str">
        <f t="shared" si="1"/>
        <v/>
      </c>
      <c r="L20" s="12">
        <f t="shared" si="2"/>
        <v>0</v>
      </c>
      <c r="M20" s="12">
        <f t="shared" si="3"/>
        <v>0</v>
      </c>
      <c r="N20" s="12">
        <f t="shared" si="4"/>
        <v>5.0000000000000001E-4</v>
      </c>
      <c r="O20" s="12">
        <f t="shared" si="5"/>
        <v>0</v>
      </c>
      <c r="P20" s="12" t="str">
        <f t="shared" si="6"/>
        <v/>
      </c>
      <c r="Q20" s="12" t="str">
        <f t="shared" si="7"/>
        <v/>
      </c>
      <c r="R20" s="12" t="str">
        <f t="shared" si="8"/>
        <v/>
      </c>
    </row>
    <row r="21" spans="1:18" x14ac:dyDescent="0.3">
      <c r="A21" s="3"/>
      <c r="B21" s="3"/>
      <c r="D21" s="3"/>
      <c r="E21" s="3"/>
      <c r="F21" s="3"/>
      <c r="G21" s="3"/>
      <c r="H21" s="3"/>
      <c r="I21" s="14" t="str">
        <f t="shared" si="0"/>
        <v/>
      </c>
      <c r="J21" s="3"/>
      <c r="K21" s="14" t="str">
        <f t="shared" si="1"/>
        <v/>
      </c>
      <c r="L21" s="12">
        <f t="shared" si="2"/>
        <v>0</v>
      </c>
      <c r="M21" s="12">
        <f t="shared" si="3"/>
        <v>0</v>
      </c>
      <c r="N21" s="12">
        <f t="shared" si="4"/>
        <v>5.0000000000000001E-4</v>
      </c>
      <c r="O21" s="12">
        <f t="shared" si="5"/>
        <v>0</v>
      </c>
      <c r="P21" s="12" t="str">
        <f t="shared" si="6"/>
        <v/>
      </c>
      <c r="Q21" s="12" t="str">
        <f t="shared" si="7"/>
        <v/>
      </c>
      <c r="R21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635E-F1F1-4BEC-9000-2E34F75B4744}">
  <dimension ref="A1:R18"/>
  <sheetViews>
    <sheetView workbookViewId="0">
      <selection sqref="A1:R1"/>
    </sheetView>
  </sheetViews>
  <sheetFormatPr baseColWidth="10" defaultColWidth="11.44140625" defaultRowHeight="14.4" x14ac:dyDescent="0.3"/>
  <cols>
    <col min="1" max="18" width="15.33203125" customWidth="1"/>
  </cols>
  <sheetData>
    <row r="1" spans="1:18" ht="18" x14ac:dyDescent="0.35">
      <c r="A1" s="35" t="s">
        <v>129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3" spans="1:18" x14ac:dyDescent="0.3">
      <c r="A3" s="45" t="s">
        <v>46</v>
      </c>
      <c r="B3" s="34"/>
      <c r="C3" s="34"/>
      <c r="D3" s="34"/>
      <c r="E3" s="34"/>
      <c r="F3" s="34"/>
    </row>
    <row r="4" spans="1:18" x14ac:dyDescent="0.3">
      <c r="A4" t="s">
        <v>47</v>
      </c>
      <c r="C4" s="17">
        <v>100</v>
      </c>
    </row>
    <row r="5" spans="1:18" x14ac:dyDescent="0.3">
      <c r="A5" t="s">
        <v>130</v>
      </c>
      <c r="C5" s="17">
        <v>0.5</v>
      </c>
    </row>
    <row r="6" spans="1:18" x14ac:dyDescent="0.3">
      <c r="A6" t="s">
        <v>106</v>
      </c>
      <c r="C6" s="17">
        <v>1.0000000000000001E-5</v>
      </c>
      <c r="D6" t="s">
        <v>131</v>
      </c>
    </row>
    <row r="7" spans="1:18" x14ac:dyDescent="0.3">
      <c r="A7" t="s">
        <v>51</v>
      </c>
      <c r="C7" s="17">
        <v>2</v>
      </c>
    </row>
    <row r="9" spans="1:18" x14ac:dyDescent="0.3">
      <c r="A9" s="37" t="s">
        <v>107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1:18" x14ac:dyDescent="0.3">
      <c r="A10" s="7" t="s">
        <v>53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58</v>
      </c>
      <c r="G10" s="7" t="s">
        <v>59</v>
      </c>
      <c r="H10" s="7" t="s">
        <v>60</v>
      </c>
      <c r="I10" s="7" t="s">
        <v>61</v>
      </c>
      <c r="J10" s="7" t="s">
        <v>62</v>
      </c>
      <c r="K10" s="7" t="s">
        <v>63</v>
      </c>
      <c r="L10" s="7" t="s">
        <v>64</v>
      </c>
      <c r="M10" s="7" t="s">
        <v>65</v>
      </c>
      <c r="N10" s="7" t="s">
        <v>66</v>
      </c>
      <c r="O10" s="7" t="s">
        <v>67</v>
      </c>
      <c r="P10" s="7" t="s">
        <v>68</v>
      </c>
      <c r="Q10" s="7" t="s">
        <v>69</v>
      </c>
      <c r="R10" s="7" t="s">
        <v>70</v>
      </c>
    </row>
    <row r="11" spans="1:18" x14ac:dyDescent="0.3">
      <c r="A11" s="2"/>
      <c r="B11" s="2" t="s">
        <v>132</v>
      </c>
      <c r="C11" s="2"/>
      <c r="D11" s="2" t="s">
        <v>133</v>
      </c>
      <c r="E11" s="2" t="s">
        <v>134</v>
      </c>
      <c r="F11" s="2" t="s">
        <v>135</v>
      </c>
      <c r="G11" s="2" t="s">
        <v>136</v>
      </c>
      <c r="H11" s="2" t="s">
        <v>137</v>
      </c>
      <c r="I11" s="2" t="s">
        <v>138</v>
      </c>
      <c r="J11" s="2" t="s">
        <v>78</v>
      </c>
      <c r="K11" s="2" t="s">
        <v>139</v>
      </c>
      <c r="L11" s="2" t="s">
        <v>80</v>
      </c>
      <c r="M11" s="2" t="s">
        <v>81</v>
      </c>
      <c r="N11" s="2" t="s">
        <v>81</v>
      </c>
      <c r="O11" s="2" t="s">
        <v>81</v>
      </c>
      <c r="P11" s="2" t="s">
        <v>82</v>
      </c>
      <c r="Q11" s="2"/>
      <c r="R11" s="2" t="s">
        <v>83</v>
      </c>
    </row>
    <row r="12" spans="1:18" x14ac:dyDescent="0.3">
      <c r="A12" t="s">
        <v>140</v>
      </c>
      <c r="B12" s="12">
        <v>1.0000000000000001E-9</v>
      </c>
      <c r="C12" t="s">
        <v>131</v>
      </c>
      <c r="D12" s="17"/>
      <c r="E12" s="17"/>
      <c r="F12" s="17"/>
      <c r="G12" s="17"/>
      <c r="H12" s="17"/>
      <c r="I12" s="12" t="str">
        <f t="shared" ref="I12:I18" si="0">IF(COUNT(D12:H12)&gt;0,AVERAGE(D12:H12),"")</f>
        <v/>
      </c>
      <c r="J12" s="18">
        <v>9.9999999999999998E-13</v>
      </c>
      <c r="K12" s="12" t="str">
        <f t="shared" ref="K12:K18" si="1">IF(I12&lt;&gt;"",I12-B12,"")</f>
        <v/>
      </c>
      <c r="L12" s="12">
        <f t="shared" ref="L12:L18" si="2">IF(COUNT(D12:H12)&gt;1,_xlfn.STDEV.S(D12:H12)/SQRT(COUNT(D12:H12)),0)</f>
        <v>0</v>
      </c>
      <c r="M12" s="12">
        <f t="shared" ref="M12:M18" si="3">J12/(2*SQRT(3))</f>
        <v>2.886751345948129E-13</v>
      </c>
      <c r="N12" s="12">
        <f t="shared" ref="N12:N18" si="4">$C$6/$C$7</f>
        <v>5.0000000000000004E-6</v>
      </c>
      <c r="O12" s="12">
        <f t="shared" ref="O12:O18" si="5">($C$4/1000000*ABS(B12)+$C$5*0.000000000001)/SQRT(3)</f>
        <v>3.4641016151377546E-13</v>
      </c>
      <c r="P12" s="12" t="str">
        <f t="shared" ref="P12:P18" si="6">IF(I12&lt;&gt;"",SQRT(L12^2+M12^2+N12^2+O12^2),"")</f>
        <v/>
      </c>
      <c r="Q12" s="12" t="str">
        <f t="shared" ref="Q12:Q18" si="7">IF(P12&lt;&gt;"",2,"")</f>
        <v/>
      </c>
      <c r="R12" s="12" t="str">
        <f t="shared" ref="R12:R18" si="8">IF(P12&lt;&gt;"",Q12*P12,"")</f>
        <v/>
      </c>
    </row>
    <row r="13" spans="1:18" x14ac:dyDescent="0.3">
      <c r="A13" t="s">
        <v>141</v>
      </c>
      <c r="B13" s="12">
        <v>1E-8</v>
      </c>
      <c r="C13" t="s">
        <v>131</v>
      </c>
      <c r="D13" s="17"/>
      <c r="E13" s="17"/>
      <c r="F13" s="17"/>
      <c r="G13" s="17"/>
      <c r="H13" s="17"/>
      <c r="I13" s="12" t="str">
        <f t="shared" si="0"/>
        <v/>
      </c>
      <c r="J13" s="18">
        <v>9.9999999999999994E-12</v>
      </c>
      <c r="K13" s="12" t="str">
        <f t="shared" si="1"/>
        <v/>
      </c>
      <c r="L13" s="12">
        <f t="shared" si="2"/>
        <v>0</v>
      </c>
      <c r="M13" s="12">
        <f t="shared" si="3"/>
        <v>2.8867513459481288E-12</v>
      </c>
      <c r="N13" s="12">
        <f t="shared" si="4"/>
        <v>5.0000000000000004E-6</v>
      </c>
      <c r="O13" s="12">
        <f t="shared" si="5"/>
        <v>8.6602540378443871E-13</v>
      </c>
      <c r="P13" s="12" t="str">
        <f t="shared" si="6"/>
        <v/>
      </c>
      <c r="Q13" s="12" t="str">
        <f t="shared" si="7"/>
        <v/>
      </c>
      <c r="R13" s="12" t="str">
        <f t="shared" si="8"/>
        <v/>
      </c>
    </row>
    <row r="14" spans="1:18" x14ac:dyDescent="0.3">
      <c r="A14" t="s">
        <v>142</v>
      </c>
      <c r="B14" s="12">
        <v>9.9999999999999995E-8</v>
      </c>
      <c r="C14" t="s">
        <v>131</v>
      </c>
      <c r="D14" s="17"/>
      <c r="E14" s="17"/>
      <c r="F14" s="17"/>
      <c r="G14" s="17"/>
      <c r="H14" s="17"/>
      <c r="I14" s="12" t="str">
        <f t="shared" si="0"/>
        <v/>
      </c>
      <c r="J14" s="18">
        <v>1E-10</v>
      </c>
      <c r="K14" s="12" t="str">
        <f t="shared" si="1"/>
        <v/>
      </c>
      <c r="L14" s="12">
        <f t="shared" si="2"/>
        <v>0</v>
      </c>
      <c r="M14" s="12">
        <f t="shared" si="3"/>
        <v>2.886751345948129E-11</v>
      </c>
      <c r="N14" s="12">
        <f t="shared" si="4"/>
        <v>5.0000000000000004E-6</v>
      </c>
      <c r="O14" s="12">
        <f t="shared" si="5"/>
        <v>6.0621778264910705E-12</v>
      </c>
      <c r="P14" s="12" t="str">
        <f t="shared" si="6"/>
        <v/>
      </c>
      <c r="Q14" s="12" t="str">
        <f t="shared" si="7"/>
        <v/>
      </c>
      <c r="R14" s="12" t="str">
        <f t="shared" si="8"/>
        <v/>
      </c>
    </row>
    <row r="15" spans="1:18" x14ac:dyDescent="0.3">
      <c r="A15" t="s">
        <v>143</v>
      </c>
      <c r="B15" s="12">
        <v>9.9999999999999995E-7</v>
      </c>
      <c r="C15" t="s">
        <v>131</v>
      </c>
      <c r="D15" s="17"/>
      <c r="E15" s="17"/>
      <c r="F15" s="17"/>
      <c r="G15" s="17"/>
      <c r="H15" s="17"/>
      <c r="I15" s="12" t="str">
        <f t="shared" si="0"/>
        <v/>
      </c>
      <c r="J15" s="18">
        <v>1.0000000000000001E-9</v>
      </c>
      <c r="K15" s="12" t="str">
        <f t="shared" si="1"/>
        <v/>
      </c>
      <c r="L15" s="12">
        <f t="shared" si="2"/>
        <v>0</v>
      </c>
      <c r="M15" s="12">
        <f t="shared" si="3"/>
        <v>2.8867513459481294E-10</v>
      </c>
      <c r="N15" s="12">
        <f t="shared" si="4"/>
        <v>5.0000000000000004E-6</v>
      </c>
      <c r="O15" s="12">
        <f t="shared" si="5"/>
        <v>5.8023702053557394E-11</v>
      </c>
      <c r="P15" s="12" t="str">
        <f t="shared" si="6"/>
        <v/>
      </c>
      <c r="Q15" s="12" t="str">
        <f t="shared" si="7"/>
        <v/>
      </c>
      <c r="R15" s="12" t="str">
        <f t="shared" si="8"/>
        <v/>
      </c>
    </row>
    <row r="16" spans="1:18" x14ac:dyDescent="0.3">
      <c r="A16" t="s">
        <v>144</v>
      </c>
      <c r="B16" s="12">
        <v>1.0000000000000001E-5</v>
      </c>
      <c r="C16" t="s">
        <v>131</v>
      </c>
      <c r="D16" s="17"/>
      <c r="E16" s="17"/>
      <c r="F16" s="17"/>
      <c r="G16" s="17"/>
      <c r="H16" s="17"/>
      <c r="I16" s="12" t="str">
        <f t="shared" si="0"/>
        <v/>
      </c>
      <c r="J16" s="18">
        <v>1E-8</v>
      </c>
      <c r="K16" s="12" t="str">
        <f t="shared" si="1"/>
        <v/>
      </c>
      <c r="L16" s="12">
        <f t="shared" si="2"/>
        <v>0</v>
      </c>
      <c r="M16" s="12">
        <f t="shared" si="3"/>
        <v>2.8867513459481292E-9</v>
      </c>
      <c r="N16" s="12">
        <f t="shared" si="4"/>
        <v>5.0000000000000004E-6</v>
      </c>
      <c r="O16" s="12">
        <f t="shared" si="5"/>
        <v>5.7763894432422057E-10</v>
      </c>
      <c r="P16" s="12" t="str">
        <f t="shared" si="6"/>
        <v/>
      </c>
      <c r="Q16" s="12" t="str">
        <f t="shared" si="7"/>
        <v/>
      </c>
      <c r="R16" s="12" t="str">
        <f t="shared" si="8"/>
        <v/>
      </c>
    </row>
    <row r="17" spans="1:18" x14ac:dyDescent="0.3">
      <c r="A17" t="s">
        <v>145</v>
      </c>
      <c r="B17" s="12">
        <v>1E-4</v>
      </c>
      <c r="C17" t="s">
        <v>131</v>
      </c>
      <c r="D17" s="17"/>
      <c r="E17" s="17"/>
      <c r="F17" s="17"/>
      <c r="G17" s="17"/>
      <c r="H17" s="17"/>
      <c r="I17" s="12" t="str">
        <f t="shared" si="0"/>
        <v/>
      </c>
      <c r="J17" s="18">
        <v>9.9999999999999995E-8</v>
      </c>
      <c r="K17" s="12" t="str">
        <f t="shared" si="1"/>
        <v/>
      </c>
      <c r="L17" s="12">
        <f t="shared" si="2"/>
        <v>0</v>
      </c>
      <c r="M17" s="12">
        <f t="shared" si="3"/>
        <v>2.8867513459481289E-8</v>
      </c>
      <c r="N17" s="12">
        <f t="shared" si="4"/>
        <v>5.0000000000000004E-6</v>
      </c>
      <c r="O17" s="12">
        <f t="shared" si="5"/>
        <v>5.7737913670308528E-9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t="s">
        <v>146</v>
      </c>
      <c r="B18" s="12">
        <v>1E-3</v>
      </c>
      <c r="C18" t="s">
        <v>131</v>
      </c>
      <c r="D18" s="17"/>
      <c r="E18" s="17"/>
      <c r="F18" s="17"/>
      <c r="G18" s="17"/>
      <c r="H18" s="17"/>
      <c r="I18" s="12" t="str">
        <f t="shared" si="0"/>
        <v/>
      </c>
      <c r="J18" s="18">
        <v>9.9999999999999995E-7</v>
      </c>
      <c r="K18" s="12" t="str">
        <f t="shared" si="1"/>
        <v/>
      </c>
      <c r="L18" s="12">
        <f t="shared" si="2"/>
        <v>0</v>
      </c>
      <c r="M18" s="12">
        <f t="shared" si="3"/>
        <v>2.8867513459481289E-7</v>
      </c>
      <c r="N18" s="12">
        <f t="shared" si="4"/>
        <v>5.0000000000000004E-6</v>
      </c>
      <c r="O18" s="12">
        <f t="shared" si="5"/>
        <v>5.7735315594097181E-8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F085B-5EA7-4933-B3D3-553DF8E9D272}">
  <dimension ref="A1:R18"/>
  <sheetViews>
    <sheetView workbookViewId="0">
      <selection sqref="A1:R1"/>
    </sheetView>
  </sheetViews>
  <sheetFormatPr baseColWidth="10" defaultColWidth="11.44140625" defaultRowHeight="14.4" x14ac:dyDescent="0.3"/>
  <cols>
    <col min="1" max="18" width="15.33203125" customWidth="1"/>
  </cols>
  <sheetData>
    <row r="1" spans="1:18" ht="18" x14ac:dyDescent="0.35">
      <c r="A1" s="35" t="s">
        <v>147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3" spans="1:18" x14ac:dyDescent="0.3">
      <c r="A3" s="45" t="s">
        <v>46</v>
      </c>
      <c r="B3" s="34"/>
      <c r="C3" s="34"/>
      <c r="D3" s="34"/>
      <c r="E3" s="34"/>
      <c r="F3" s="34"/>
    </row>
    <row r="4" spans="1:18" x14ac:dyDescent="0.3">
      <c r="A4" t="s">
        <v>47</v>
      </c>
      <c r="C4" s="17">
        <v>5</v>
      </c>
    </row>
    <row r="5" spans="1:18" x14ac:dyDescent="0.3">
      <c r="A5" t="s">
        <v>148</v>
      </c>
      <c r="C5" s="17">
        <v>0.01</v>
      </c>
    </row>
    <row r="6" spans="1:18" x14ac:dyDescent="0.3">
      <c r="A6" t="s">
        <v>106</v>
      </c>
      <c r="C6" s="17">
        <v>1E-3</v>
      </c>
      <c r="D6" t="s">
        <v>149</v>
      </c>
    </row>
    <row r="7" spans="1:18" x14ac:dyDescent="0.3">
      <c r="A7" t="s">
        <v>51</v>
      </c>
      <c r="C7" s="17">
        <v>2</v>
      </c>
    </row>
    <row r="9" spans="1:18" x14ac:dyDescent="0.3">
      <c r="A9" s="37" t="s">
        <v>107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</row>
    <row r="10" spans="1:18" x14ac:dyDescent="0.3">
      <c r="A10" s="7" t="s">
        <v>53</v>
      </c>
      <c r="B10" s="7" t="s">
        <v>54</v>
      </c>
      <c r="C10" s="7" t="s">
        <v>55</v>
      </c>
      <c r="D10" s="7" t="s">
        <v>56</v>
      </c>
      <c r="E10" s="7" t="s">
        <v>57</v>
      </c>
      <c r="F10" s="7" t="s">
        <v>58</v>
      </c>
      <c r="G10" s="7" t="s">
        <v>59</v>
      </c>
      <c r="H10" s="7" t="s">
        <v>60</v>
      </c>
      <c r="I10" s="7" t="s">
        <v>61</v>
      </c>
      <c r="J10" s="7" t="s">
        <v>62</v>
      </c>
      <c r="K10" s="7" t="s">
        <v>63</v>
      </c>
      <c r="L10" s="7" t="s">
        <v>64</v>
      </c>
      <c r="M10" s="7" t="s">
        <v>65</v>
      </c>
      <c r="N10" s="7" t="s">
        <v>66</v>
      </c>
      <c r="O10" s="7" t="s">
        <v>67</v>
      </c>
      <c r="P10" s="7" t="s">
        <v>68</v>
      </c>
      <c r="Q10" s="7" t="s">
        <v>69</v>
      </c>
      <c r="R10" s="7" t="s">
        <v>70</v>
      </c>
    </row>
    <row r="11" spans="1:18" x14ac:dyDescent="0.3">
      <c r="A11" s="2"/>
      <c r="B11" s="2" t="s">
        <v>150</v>
      </c>
      <c r="C11" s="2"/>
      <c r="D11" s="2" t="s">
        <v>151</v>
      </c>
      <c r="E11" s="2" t="s">
        <v>152</v>
      </c>
      <c r="F11" s="2" t="s">
        <v>153</v>
      </c>
      <c r="G11" s="2" t="s">
        <v>154</v>
      </c>
      <c r="H11" s="2" t="s">
        <v>155</v>
      </c>
      <c r="I11" s="2" t="s">
        <v>156</v>
      </c>
      <c r="J11" s="2" t="s">
        <v>78</v>
      </c>
      <c r="K11" s="2" t="s">
        <v>157</v>
      </c>
      <c r="L11" s="2" t="s">
        <v>80</v>
      </c>
      <c r="M11" s="2" t="s">
        <v>81</v>
      </c>
      <c r="N11" s="2" t="s">
        <v>81</v>
      </c>
      <c r="O11" s="2" t="s">
        <v>81</v>
      </c>
      <c r="P11" s="2" t="s">
        <v>82</v>
      </c>
      <c r="Q11" s="2"/>
      <c r="R11" s="2" t="s">
        <v>83</v>
      </c>
    </row>
    <row r="12" spans="1:18" x14ac:dyDescent="0.3">
      <c r="A12" t="s">
        <v>158</v>
      </c>
      <c r="B12" s="19">
        <v>10</v>
      </c>
      <c r="C12" t="s">
        <v>149</v>
      </c>
      <c r="D12" s="17"/>
      <c r="E12" s="17"/>
      <c r="F12" s="17"/>
      <c r="G12" s="17"/>
      <c r="H12" s="17"/>
      <c r="I12" s="20" t="str">
        <f t="shared" ref="I12:I18" si="0">IF(COUNT(D12:H12)&gt;0,AVERAGE(D12:H12),"")</f>
        <v/>
      </c>
      <c r="J12" s="21">
        <v>1E-3</v>
      </c>
      <c r="K12" s="20" t="str">
        <f t="shared" ref="K12:K18" si="1">IF(I12&lt;&gt;"",I12-B12,"")</f>
        <v/>
      </c>
      <c r="L12" s="12">
        <f t="shared" ref="L12:L18" si="2">IF(COUNT(D12:H12)&gt;1,_xlfn.STDEV.S(D12:H12)/SQRT(COUNT(D12:H12)),0)</f>
        <v>0</v>
      </c>
      <c r="M12" s="12">
        <f t="shared" ref="M12:M18" si="3">J12/(2*SQRT(3))</f>
        <v>2.886751345948129E-4</v>
      </c>
      <c r="N12" s="12">
        <f t="shared" ref="N12:N18" si="4">$C$6/$C$7</f>
        <v>5.0000000000000001E-4</v>
      </c>
      <c r="O12" s="12">
        <f t="shared" ref="O12:O18" si="5">($C$4/1000000*ABS(B12)+$C$5)/SQRT(3)</f>
        <v>5.8023702053557396E-3</v>
      </c>
      <c r="P12" s="12" t="str">
        <f t="shared" ref="P12:P18" si="6">IF(I12&lt;&gt;"",SQRT(L12^2+M12^2+N12^2+O12^2),"")</f>
        <v/>
      </c>
      <c r="Q12" s="12" t="str">
        <f t="shared" ref="Q12:Q18" si="7">IF(P12&lt;&gt;"",2,"")</f>
        <v/>
      </c>
      <c r="R12" s="12" t="str">
        <f t="shared" ref="R12:R18" si="8">IF(P12&lt;&gt;"",Q12*P12,"")</f>
        <v/>
      </c>
    </row>
    <row r="13" spans="1:18" x14ac:dyDescent="0.3">
      <c r="A13" t="s">
        <v>159</v>
      </c>
      <c r="B13" s="19">
        <v>100</v>
      </c>
      <c r="C13" t="s">
        <v>149</v>
      </c>
      <c r="D13" s="17"/>
      <c r="E13" s="17"/>
      <c r="F13" s="17"/>
      <c r="G13" s="17"/>
      <c r="H13" s="17"/>
      <c r="I13" s="20" t="str">
        <f t="shared" si="0"/>
        <v/>
      </c>
      <c r="J13" s="22">
        <v>0.01</v>
      </c>
      <c r="K13" s="20" t="str">
        <f t="shared" si="1"/>
        <v/>
      </c>
      <c r="L13" s="12">
        <f t="shared" si="2"/>
        <v>0</v>
      </c>
      <c r="M13" s="12">
        <f t="shared" si="3"/>
        <v>2.886751345948129E-3</v>
      </c>
      <c r="N13" s="12">
        <f t="shared" si="4"/>
        <v>5.0000000000000001E-4</v>
      </c>
      <c r="O13" s="12">
        <f t="shared" si="5"/>
        <v>6.0621778264910711E-3</v>
      </c>
      <c r="P13" s="12" t="str">
        <f t="shared" si="6"/>
        <v/>
      </c>
      <c r="Q13" s="12" t="str">
        <f t="shared" si="7"/>
        <v/>
      </c>
      <c r="R13" s="12" t="str">
        <f t="shared" si="8"/>
        <v/>
      </c>
    </row>
    <row r="14" spans="1:18" x14ac:dyDescent="0.3">
      <c r="A14" t="s">
        <v>160</v>
      </c>
      <c r="B14" s="19">
        <v>1000</v>
      </c>
      <c r="C14" t="s">
        <v>149</v>
      </c>
      <c r="D14" s="17"/>
      <c r="E14" s="17"/>
      <c r="F14" s="17"/>
      <c r="G14" s="17"/>
      <c r="H14" s="17"/>
      <c r="I14" s="20" t="str">
        <f t="shared" si="0"/>
        <v/>
      </c>
      <c r="J14" s="23">
        <v>0.1</v>
      </c>
      <c r="K14" s="20" t="str">
        <f t="shared" si="1"/>
        <v/>
      </c>
      <c r="L14" s="12">
        <f t="shared" si="2"/>
        <v>0</v>
      </c>
      <c r="M14" s="12">
        <f t="shared" si="3"/>
        <v>2.8867513459481291E-2</v>
      </c>
      <c r="N14" s="12">
        <f t="shared" si="4"/>
        <v>5.0000000000000001E-4</v>
      </c>
      <c r="O14" s="12">
        <f t="shared" si="5"/>
        <v>8.6602540378443865E-3</v>
      </c>
      <c r="P14" s="12" t="str">
        <f t="shared" si="6"/>
        <v/>
      </c>
      <c r="Q14" s="12" t="str">
        <f t="shared" si="7"/>
        <v/>
      </c>
      <c r="R14" s="12" t="str">
        <f t="shared" si="8"/>
        <v/>
      </c>
    </row>
    <row r="15" spans="1:18" x14ac:dyDescent="0.3">
      <c r="A15" t="s">
        <v>161</v>
      </c>
      <c r="B15" s="19">
        <v>10000</v>
      </c>
      <c r="C15" t="s">
        <v>149</v>
      </c>
      <c r="D15" s="17"/>
      <c r="E15" s="17"/>
      <c r="F15" s="17"/>
      <c r="G15" s="17"/>
      <c r="H15" s="17"/>
      <c r="I15" s="20" t="str">
        <f t="shared" si="0"/>
        <v/>
      </c>
      <c r="J15" s="24">
        <v>1</v>
      </c>
      <c r="K15" s="20" t="str">
        <f t="shared" si="1"/>
        <v/>
      </c>
      <c r="L15" s="12">
        <f t="shared" si="2"/>
        <v>0</v>
      </c>
      <c r="M15" s="12">
        <f t="shared" si="3"/>
        <v>0.28867513459481292</v>
      </c>
      <c r="N15" s="12">
        <f t="shared" si="4"/>
        <v>5.0000000000000001E-4</v>
      </c>
      <c r="O15" s="12">
        <f t="shared" si="5"/>
        <v>3.4641016151377553E-2</v>
      </c>
      <c r="P15" s="12" t="str">
        <f t="shared" si="6"/>
        <v/>
      </c>
      <c r="Q15" s="12" t="str">
        <f t="shared" si="7"/>
        <v/>
      </c>
      <c r="R15" s="12" t="str">
        <f t="shared" si="8"/>
        <v/>
      </c>
    </row>
    <row r="16" spans="1:18" x14ac:dyDescent="0.3">
      <c r="A16" t="s">
        <v>162</v>
      </c>
      <c r="B16" s="19">
        <v>100000</v>
      </c>
      <c r="C16" t="s">
        <v>149</v>
      </c>
      <c r="D16" s="17"/>
      <c r="E16" s="17"/>
      <c r="F16" s="17"/>
      <c r="G16" s="17"/>
      <c r="H16" s="17"/>
      <c r="I16" s="25" t="str">
        <f t="shared" si="0"/>
        <v/>
      </c>
      <c r="J16" s="24">
        <v>10</v>
      </c>
      <c r="K16" s="25" t="str">
        <f t="shared" si="1"/>
        <v/>
      </c>
      <c r="L16" s="12">
        <f t="shared" si="2"/>
        <v>0</v>
      </c>
      <c r="M16" s="12">
        <f t="shared" si="3"/>
        <v>2.8867513459481291</v>
      </c>
      <c r="N16" s="12">
        <f t="shared" si="4"/>
        <v>5.0000000000000001E-4</v>
      </c>
      <c r="O16" s="12">
        <f t="shared" si="5"/>
        <v>0.29444863728670917</v>
      </c>
      <c r="P16" s="12" t="str">
        <f t="shared" si="6"/>
        <v/>
      </c>
      <c r="Q16" s="12" t="str">
        <f t="shared" si="7"/>
        <v/>
      </c>
      <c r="R16" s="12" t="str">
        <f t="shared" si="8"/>
        <v/>
      </c>
    </row>
    <row r="17" spans="1:18" x14ac:dyDescent="0.3">
      <c r="A17" t="s">
        <v>163</v>
      </c>
      <c r="B17" s="19">
        <v>1000000</v>
      </c>
      <c r="C17" t="s">
        <v>149</v>
      </c>
      <c r="D17" s="17"/>
      <c r="E17" s="17"/>
      <c r="F17" s="17"/>
      <c r="G17" s="17"/>
      <c r="H17" s="17"/>
      <c r="I17" s="25" t="str">
        <f t="shared" si="0"/>
        <v/>
      </c>
      <c r="J17" s="24">
        <v>100</v>
      </c>
      <c r="K17" s="25" t="str">
        <f t="shared" si="1"/>
        <v/>
      </c>
      <c r="L17" s="12">
        <f t="shared" si="2"/>
        <v>0</v>
      </c>
      <c r="M17" s="12">
        <f t="shared" si="3"/>
        <v>28.867513459481291</v>
      </c>
      <c r="N17" s="12">
        <f t="shared" si="4"/>
        <v>5.0000000000000001E-4</v>
      </c>
      <c r="O17" s="12">
        <f t="shared" si="5"/>
        <v>2.8925248486400252</v>
      </c>
      <c r="P17" s="12" t="str">
        <f t="shared" si="6"/>
        <v/>
      </c>
      <c r="Q17" s="12" t="str">
        <f t="shared" si="7"/>
        <v/>
      </c>
      <c r="R17" s="12" t="str">
        <f t="shared" si="8"/>
        <v/>
      </c>
    </row>
    <row r="18" spans="1:18" x14ac:dyDescent="0.3">
      <c r="A18" t="s">
        <v>164</v>
      </c>
      <c r="B18" s="19">
        <v>10000000</v>
      </c>
      <c r="C18" t="s">
        <v>149</v>
      </c>
      <c r="D18" s="17"/>
      <c r="E18" s="17"/>
      <c r="F18" s="17"/>
      <c r="G18" s="17"/>
      <c r="H18" s="17"/>
      <c r="I18" s="25" t="str">
        <f t="shared" si="0"/>
        <v/>
      </c>
      <c r="J18" s="24">
        <v>1000</v>
      </c>
      <c r="K18" s="25" t="str">
        <f t="shared" si="1"/>
        <v/>
      </c>
      <c r="L18" s="12">
        <f t="shared" si="2"/>
        <v>0</v>
      </c>
      <c r="M18" s="12">
        <f t="shared" si="3"/>
        <v>288.6751345948129</v>
      </c>
      <c r="N18" s="12">
        <f t="shared" si="4"/>
        <v>5.0000000000000001E-4</v>
      </c>
      <c r="O18" s="12">
        <f t="shared" si="5"/>
        <v>28.873286962173189</v>
      </c>
      <c r="P18" s="12" t="str">
        <f t="shared" si="6"/>
        <v/>
      </c>
      <c r="Q18" s="12" t="str">
        <f t="shared" si="7"/>
        <v/>
      </c>
      <c r="R18" s="12" t="str">
        <f t="shared" si="8"/>
        <v/>
      </c>
    </row>
  </sheetData>
  <mergeCells count="3">
    <mergeCell ref="A1:R1"/>
    <mergeCell ref="A3:F3"/>
    <mergeCell ref="A9:R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7AA81-6471-4E89-817F-867373602459}">
  <dimension ref="A1:L60"/>
  <sheetViews>
    <sheetView topLeftCell="A33" workbookViewId="0">
      <selection sqref="A1:L1"/>
    </sheetView>
  </sheetViews>
  <sheetFormatPr baseColWidth="10" defaultColWidth="11.44140625" defaultRowHeight="14.4" x14ac:dyDescent="0.3"/>
  <cols>
    <col min="1" max="1" width="38.109375" customWidth="1"/>
    <col min="2" max="3" width="19" customWidth="1"/>
    <col min="4" max="5" width="15.33203125" customWidth="1"/>
    <col min="6" max="6" width="19" customWidth="1"/>
  </cols>
  <sheetData>
    <row r="1" spans="1:12" ht="18" x14ac:dyDescent="0.35">
      <c r="A1" s="35" t="s">
        <v>165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x14ac:dyDescent="0.3">
      <c r="A2" s="51" t="s">
        <v>166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</row>
    <row r="4" spans="1:12" x14ac:dyDescent="0.3">
      <c r="A4" s="45" t="s">
        <v>167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spans="1:12" ht="15.6" x14ac:dyDescent="0.3">
      <c r="A5" s="26" t="s">
        <v>168</v>
      </c>
    </row>
    <row r="7" spans="1:12" x14ac:dyDescent="0.3">
      <c r="A7" t="s">
        <v>169</v>
      </c>
    </row>
    <row r="8" spans="1:12" x14ac:dyDescent="0.3">
      <c r="A8" s="34" t="s">
        <v>170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</row>
    <row r="10" spans="1:12" x14ac:dyDescent="0.3">
      <c r="A10" s="37" t="s">
        <v>171</v>
      </c>
      <c r="B10" s="34"/>
      <c r="C10" s="34"/>
      <c r="D10" s="34"/>
      <c r="E10" s="34"/>
      <c r="F10" s="34"/>
      <c r="G10" s="34"/>
      <c r="H10" s="34"/>
      <c r="I10" s="34"/>
      <c r="J10" s="34"/>
      <c r="K10" s="34"/>
      <c r="L10" s="34"/>
    </row>
    <row r="12" spans="1:12" x14ac:dyDescent="0.3">
      <c r="A12" s="7" t="s">
        <v>172</v>
      </c>
      <c r="B12" s="7" t="s">
        <v>173</v>
      </c>
      <c r="C12" s="7" t="s">
        <v>174</v>
      </c>
      <c r="D12" s="7" t="s">
        <v>175</v>
      </c>
      <c r="E12" s="7" t="s">
        <v>176</v>
      </c>
      <c r="F12" s="7" t="s">
        <v>177</v>
      </c>
      <c r="G12" s="7" t="s">
        <v>178</v>
      </c>
      <c r="H12" s="17">
        <v>5</v>
      </c>
    </row>
    <row r="13" spans="1:12" x14ac:dyDescent="0.3">
      <c r="A13" t="s">
        <v>179</v>
      </c>
      <c r="B13" t="s">
        <v>64</v>
      </c>
      <c r="C13" s="18"/>
      <c r="D13" t="s">
        <v>112</v>
      </c>
      <c r="E13" s="17">
        <f>H12-1</f>
        <v>4</v>
      </c>
      <c r="F13" s="12">
        <f>IF(AND(C13&lt;&gt;"",E13&lt;&gt;"",E13&gt;0),(C13^4)/E13,0)</f>
        <v>0</v>
      </c>
    </row>
    <row r="14" spans="1:12" x14ac:dyDescent="0.3">
      <c r="A14" t="s">
        <v>62</v>
      </c>
      <c r="B14" t="s">
        <v>65</v>
      </c>
      <c r="C14" s="18"/>
      <c r="D14" t="s">
        <v>180</v>
      </c>
      <c r="E14">
        <v>200</v>
      </c>
      <c r="F14" s="12">
        <f>IF(AND(C14&lt;&gt;"",E14&lt;&gt;"",E14&gt;0),(C14^4)/E14,0)</f>
        <v>0</v>
      </c>
    </row>
    <row r="15" spans="1:12" x14ac:dyDescent="0.3">
      <c r="A15" t="s">
        <v>181</v>
      </c>
      <c r="B15" t="s">
        <v>66</v>
      </c>
      <c r="C15" s="18"/>
      <c r="D15" t="s">
        <v>180</v>
      </c>
      <c r="E15">
        <v>200</v>
      </c>
      <c r="F15" s="12">
        <f>IF(AND(C15&lt;&gt;"",E15&lt;&gt;"",E15&gt;0),(C15^4)/E15,0)</f>
        <v>0</v>
      </c>
    </row>
    <row r="16" spans="1:12" x14ac:dyDescent="0.3">
      <c r="A16" t="s">
        <v>182</v>
      </c>
      <c r="B16" t="s">
        <v>67</v>
      </c>
      <c r="C16" s="18"/>
      <c r="D16" t="s">
        <v>180</v>
      </c>
      <c r="E16">
        <v>200</v>
      </c>
      <c r="F16" s="12">
        <f>IF(AND(C16&lt;&gt;"",E16&lt;&gt;"",E16&gt;0),(C16^4)/E16,0)</f>
        <v>0</v>
      </c>
    </row>
    <row r="17" spans="1:12" x14ac:dyDescent="0.3">
      <c r="A17" t="s">
        <v>183</v>
      </c>
      <c r="B17" t="s">
        <v>184</v>
      </c>
      <c r="C17" s="18"/>
      <c r="D17" t="s">
        <v>180</v>
      </c>
      <c r="E17">
        <v>200</v>
      </c>
      <c r="F17" s="12">
        <f>IF(AND(C17&lt;&gt;"",E17&lt;&gt;"",E17&gt;0),(C17^4)/E17,0)</f>
        <v>0</v>
      </c>
    </row>
    <row r="19" spans="1:12" x14ac:dyDescent="0.3">
      <c r="A19" s="37" t="s">
        <v>185</v>
      </c>
      <c r="B19" s="34"/>
      <c r="C19" s="34"/>
      <c r="D19" s="34"/>
      <c r="E19" s="34"/>
      <c r="F19" s="34"/>
    </row>
    <row r="21" spans="1:12" x14ac:dyDescent="0.3">
      <c r="A21" t="s">
        <v>186</v>
      </c>
      <c r="B21" s="12">
        <f>SUM(F13:F17)</f>
        <v>0</v>
      </c>
    </row>
    <row r="22" spans="1:12" x14ac:dyDescent="0.3">
      <c r="A22" t="s">
        <v>187</v>
      </c>
      <c r="B22" s="12">
        <f>SQRT(SUMSQ(C13:C17))</f>
        <v>0</v>
      </c>
    </row>
    <row r="23" spans="1:12" x14ac:dyDescent="0.3">
      <c r="A23" t="s">
        <v>188</v>
      </c>
      <c r="B23" s="12">
        <f>B22^4</f>
        <v>0</v>
      </c>
    </row>
    <row r="24" spans="1:12" x14ac:dyDescent="0.3">
      <c r="A24" t="s">
        <v>189</v>
      </c>
      <c r="B24" s="27">
        <f>IF(B21&gt;0,B23/B21,0)</f>
        <v>0</v>
      </c>
    </row>
    <row r="25" spans="1:12" x14ac:dyDescent="0.3">
      <c r="A25" t="s">
        <v>190</v>
      </c>
      <c r="B25" s="28">
        <f>INT(B24)</f>
        <v>0</v>
      </c>
    </row>
    <row r="26" spans="1:12" x14ac:dyDescent="0.3">
      <c r="A26" t="s">
        <v>191</v>
      </c>
      <c r="B26" s="27">
        <f>IF(B25&gt;=1,IF(B25&gt;=100,2,IF(B25&gt;=50,2.01,IF(B25&gt;=30,2.04,IF(B25&gt;=20,2.09,IF(B25&gt;=15,2.13,IF(B25&gt;=10,2.23,IF(B25&gt;=8,2.31,IF(B25&gt;=6,2.45,IF(B25&gt;=5,2.57,IF(B25&gt;=4,2.78,IF(B25&gt;=3,3.18,IF(B25&gt;=2,4.3,12.71)))))))))))),2)</f>
        <v>2</v>
      </c>
    </row>
    <row r="28" spans="1:12" x14ac:dyDescent="0.3">
      <c r="A28" s="45" t="s">
        <v>192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</row>
    <row r="30" spans="1:12" x14ac:dyDescent="0.3">
      <c r="A30" s="29" t="s">
        <v>176</v>
      </c>
      <c r="B30" s="29" t="s">
        <v>193</v>
      </c>
      <c r="D30" s="29" t="s">
        <v>176</v>
      </c>
      <c r="E30" s="29" t="s">
        <v>193</v>
      </c>
    </row>
    <row r="31" spans="1:12" x14ac:dyDescent="0.3">
      <c r="A31" s="30">
        <v>1</v>
      </c>
      <c r="B31" s="30">
        <v>12.71</v>
      </c>
      <c r="D31" s="30">
        <v>25</v>
      </c>
      <c r="E31" s="30">
        <v>2.06</v>
      </c>
    </row>
    <row r="32" spans="1:12" x14ac:dyDescent="0.3">
      <c r="A32" s="30">
        <v>2</v>
      </c>
      <c r="B32" s="30">
        <v>4.3</v>
      </c>
      <c r="D32" s="30">
        <v>30</v>
      </c>
      <c r="E32" s="30">
        <v>2.04</v>
      </c>
    </row>
    <row r="33" spans="1:12" x14ac:dyDescent="0.3">
      <c r="A33" s="30">
        <v>3</v>
      </c>
      <c r="B33" s="30">
        <v>3.18</v>
      </c>
      <c r="D33" s="30">
        <v>40</v>
      </c>
      <c r="E33" s="30">
        <v>2.02</v>
      </c>
    </row>
    <row r="34" spans="1:12" x14ac:dyDescent="0.3">
      <c r="A34" s="30">
        <v>4</v>
      </c>
      <c r="B34" s="30">
        <v>2.78</v>
      </c>
      <c r="D34" s="30">
        <v>50</v>
      </c>
      <c r="E34" s="30">
        <v>2.0099999999999998</v>
      </c>
    </row>
    <row r="35" spans="1:12" x14ac:dyDescent="0.3">
      <c r="A35" s="30">
        <v>5</v>
      </c>
      <c r="B35" s="30">
        <v>2.57</v>
      </c>
      <c r="D35" s="30">
        <v>60</v>
      </c>
      <c r="E35" s="30">
        <v>2</v>
      </c>
    </row>
    <row r="36" spans="1:12" x14ac:dyDescent="0.3">
      <c r="A36" s="30">
        <v>6</v>
      </c>
      <c r="B36" s="30">
        <v>2.4500000000000002</v>
      </c>
      <c r="D36" s="30">
        <v>80</v>
      </c>
      <c r="E36" s="30">
        <v>1.99</v>
      </c>
    </row>
    <row r="37" spans="1:12" x14ac:dyDescent="0.3">
      <c r="A37" s="30">
        <v>7</v>
      </c>
      <c r="B37" s="30">
        <v>2.36</v>
      </c>
      <c r="D37" s="30">
        <v>100</v>
      </c>
      <c r="E37" s="30">
        <v>1.98</v>
      </c>
    </row>
    <row r="38" spans="1:12" x14ac:dyDescent="0.3">
      <c r="A38" s="30">
        <v>8</v>
      </c>
      <c r="B38" s="30">
        <v>2.31</v>
      </c>
      <c r="D38" s="30">
        <v>200</v>
      </c>
      <c r="E38" s="30">
        <v>1.97</v>
      </c>
    </row>
    <row r="39" spans="1:12" x14ac:dyDescent="0.3">
      <c r="A39" s="30">
        <v>9</v>
      </c>
      <c r="B39" s="30">
        <v>2.2599999999999998</v>
      </c>
      <c r="D39" s="30">
        <v>500</v>
      </c>
      <c r="E39" s="30">
        <v>1.96</v>
      </c>
    </row>
    <row r="40" spans="1:12" x14ac:dyDescent="0.3">
      <c r="A40" s="30">
        <v>10</v>
      </c>
      <c r="B40" s="30">
        <v>2.23</v>
      </c>
      <c r="D40" s="30">
        <v>1000</v>
      </c>
      <c r="E40" s="30">
        <v>1.96</v>
      </c>
    </row>
    <row r="41" spans="1:12" x14ac:dyDescent="0.3">
      <c r="A41" s="30">
        <v>15</v>
      </c>
      <c r="B41" s="30">
        <v>2.13</v>
      </c>
      <c r="D41" s="30" t="s">
        <v>194</v>
      </c>
      <c r="E41" s="30">
        <v>1.96</v>
      </c>
    </row>
    <row r="42" spans="1:12" x14ac:dyDescent="0.3">
      <c r="A42" s="30">
        <v>20</v>
      </c>
      <c r="B42" s="30">
        <v>2.09</v>
      </c>
      <c r="D42" s="30"/>
      <c r="E42" s="30"/>
    </row>
    <row r="44" spans="1:12" x14ac:dyDescent="0.3">
      <c r="A44" s="37" t="s">
        <v>195</v>
      </c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</row>
    <row r="46" spans="1:12" x14ac:dyDescent="0.3">
      <c r="A46" t="s">
        <v>196</v>
      </c>
    </row>
    <row r="47" spans="1:12" x14ac:dyDescent="0.3">
      <c r="A47" t="s">
        <v>197</v>
      </c>
    </row>
    <row r="48" spans="1:12" x14ac:dyDescent="0.3">
      <c r="A48" t="s">
        <v>198</v>
      </c>
    </row>
    <row r="49" spans="1:12" x14ac:dyDescent="0.3">
      <c r="A49" t="s">
        <v>199</v>
      </c>
    </row>
    <row r="51" spans="1:12" x14ac:dyDescent="0.3">
      <c r="A51" s="2" t="s">
        <v>200</v>
      </c>
    </row>
    <row r="52" spans="1:12" x14ac:dyDescent="0.3">
      <c r="A52" s="2" t="s">
        <v>201</v>
      </c>
    </row>
    <row r="53" spans="1:12" x14ac:dyDescent="0.3">
      <c r="A53" s="2" t="s">
        <v>202</v>
      </c>
    </row>
    <row r="55" spans="1:12" x14ac:dyDescent="0.3">
      <c r="A55" s="50" t="s">
        <v>203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7" spans="1:12" x14ac:dyDescent="0.3">
      <c r="A57" t="s">
        <v>204</v>
      </c>
    </row>
    <row r="59" spans="1:12" x14ac:dyDescent="0.3">
      <c r="A59" t="s">
        <v>205</v>
      </c>
    </row>
    <row r="60" spans="1:12" x14ac:dyDescent="0.3">
      <c r="A60" s="31" t="s">
        <v>206</v>
      </c>
    </row>
  </sheetData>
  <mergeCells count="9">
    <mergeCell ref="A28:L28"/>
    <mergeCell ref="A44:L44"/>
    <mergeCell ref="A55:L55"/>
    <mergeCell ref="A1:L1"/>
    <mergeCell ref="A2:L2"/>
    <mergeCell ref="A4:L4"/>
    <mergeCell ref="A8:L8"/>
    <mergeCell ref="A10:L10"/>
    <mergeCell ref="A19:F1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3953-A73D-4B36-9606-3395553EC307}">
  <dimension ref="A1:H112"/>
  <sheetViews>
    <sheetView workbookViewId="0">
      <selection activeCell="A2" sqref="A2"/>
    </sheetView>
  </sheetViews>
  <sheetFormatPr baseColWidth="10" defaultColWidth="11.44140625" defaultRowHeight="14.4" x14ac:dyDescent="0.3"/>
  <cols>
    <col min="1" max="2" width="19" customWidth="1"/>
    <col min="3" max="8" width="17.109375" customWidth="1"/>
  </cols>
  <sheetData>
    <row r="1" spans="1:8" ht="18" x14ac:dyDescent="0.35">
      <c r="A1" s="35" t="s">
        <v>207</v>
      </c>
      <c r="B1" s="36"/>
      <c r="C1" s="36"/>
      <c r="D1" s="36"/>
      <c r="E1" s="36"/>
      <c r="F1" s="36"/>
      <c r="G1" s="36"/>
      <c r="H1" s="36"/>
    </row>
    <row r="3" spans="1:8" x14ac:dyDescent="0.3">
      <c r="A3" s="37" t="s">
        <v>208</v>
      </c>
      <c r="B3" s="38"/>
      <c r="C3" s="38"/>
      <c r="D3" s="38"/>
    </row>
    <row r="4" spans="1:8" x14ac:dyDescent="0.3">
      <c r="A4" s="1" t="s">
        <v>3</v>
      </c>
      <c r="B4">
        <f>'Datos Generales'!B5</f>
        <v>0</v>
      </c>
      <c r="C4" s="1" t="s">
        <v>209</v>
      </c>
      <c r="D4">
        <f>'Datos Generales'!D5</f>
        <v>0</v>
      </c>
    </row>
    <row r="5" spans="1:8" x14ac:dyDescent="0.3">
      <c r="A5" s="1" t="s">
        <v>210</v>
      </c>
      <c r="B5" t="str">
        <f>'Datos Generales'!B9</f>
        <v>Arduino</v>
      </c>
      <c r="C5" s="1" t="s">
        <v>12</v>
      </c>
      <c r="D5" t="str">
        <f>'Datos Generales'!D9</f>
        <v>INA219</v>
      </c>
    </row>
    <row r="6" spans="1:8" x14ac:dyDescent="0.3">
      <c r="A6" s="1" t="s">
        <v>14</v>
      </c>
      <c r="B6">
        <f>'Datos Generales'!B10</f>
        <v>0</v>
      </c>
      <c r="C6" s="1" t="s">
        <v>211</v>
      </c>
      <c r="D6">
        <f>'Datos Generales'!B11</f>
        <v>0</v>
      </c>
    </row>
    <row r="7" spans="1:8" x14ac:dyDescent="0.3">
      <c r="A7" s="1" t="s">
        <v>25</v>
      </c>
      <c r="B7">
        <f>'Datos Generales'!B21</f>
        <v>0</v>
      </c>
      <c r="C7" s="1" t="s">
        <v>212</v>
      </c>
      <c r="D7">
        <f>'Datos Generales'!D21</f>
        <v>0</v>
      </c>
    </row>
    <row r="9" spans="1:8" x14ac:dyDescent="0.3">
      <c r="A9" s="39" t="s">
        <v>213</v>
      </c>
      <c r="B9" s="54"/>
      <c r="C9" s="54"/>
      <c r="D9" s="54"/>
      <c r="E9" s="54"/>
      <c r="F9" s="54"/>
      <c r="G9" s="54"/>
      <c r="H9" s="54"/>
    </row>
    <row r="10" spans="1:8" x14ac:dyDescent="0.3">
      <c r="A10" s="15" t="s">
        <v>53</v>
      </c>
      <c r="B10" s="15" t="s">
        <v>54</v>
      </c>
      <c r="C10" s="15" t="s">
        <v>55</v>
      </c>
      <c r="D10" s="15" t="s">
        <v>214</v>
      </c>
      <c r="E10" s="15" t="s">
        <v>215</v>
      </c>
      <c r="F10" s="15" t="s">
        <v>216</v>
      </c>
      <c r="G10" s="15" t="s">
        <v>55</v>
      </c>
    </row>
    <row r="11" spans="1:8" x14ac:dyDescent="0.3">
      <c r="A11">
        <f>IF('Tensión DC'!A12&lt;&gt;"",'Tensión DC'!A12,"")</f>
        <v>2.8</v>
      </c>
      <c r="B11" s="11">
        <f>IF('Tensión DC'!B12&lt;&gt;"",'Tensión DC'!B12,"")</f>
        <v>2.8820000000000001</v>
      </c>
      <c r="C11" t="str">
        <f>IF('Tensión DC'!C12&lt;&gt;"",'Tensión DC'!C12,"")</f>
        <v>V</v>
      </c>
      <c r="D11" s="11">
        <f>IF('Tensión DC'!I12&lt;&gt;"",'Tensión DC'!I12,"")</f>
        <v>2.8522000000000003</v>
      </c>
      <c r="E11" s="11">
        <f>IF('Tensión DC'!K12&lt;&gt;"",'Tensión DC'!K12,"")</f>
        <v>-2.9799999999999827E-2</v>
      </c>
      <c r="F11" s="12">
        <f>IF('Tensión DC'!R12&lt;&gt;"",'Tensión DC'!R12,"")</f>
        <v>7.1302485156884499E-4</v>
      </c>
      <c r="G11" t="str">
        <f>IF('Tensión DC'!C12&lt;&gt;"",'Tensión DC'!C12,"")</f>
        <v>V</v>
      </c>
    </row>
    <row r="12" spans="1:8" x14ac:dyDescent="0.3">
      <c r="A12">
        <f>IF('Tensión DC'!A13&lt;&gt;"",'Tensión DC'!A13,"")</f>
        <v>3.3</v>
      </c>
      <c r="B12" s="11">
        <f>IF('Tensión DC'!B13&lt;&gt;"",'Tensión DC'!B13,"")</f>
        <v>3.32</v>
      </c>
      <c r="C12" t="str">
        <f>IF('Tensión DC'!C13&lt;&gt;"",'Tensión DC'!C13,"")</f>
        <v>V</v>
      </c>
      <c r="D12" s="11">
        <f>IF('Tensión DC'!I13&lt;&gt;"",'Tensión DC'!I13,"")</f>
        <v>3.3576000000000001</v>
      </c>
      <c r="E12" s="11">
        <f>IF('Tensión DC'!K13&lt;&gt;"",'Tensión DC'!K13,"")</f>
        <v>3.76000000000003E-2</v>
      </c>
      <c r="F12" s="12">
        <f>IF('Tensión DC'!R13&lt;&gt;"",'Tensión DC'!R13,"")</f>
        <v>7.6886904962198462E-4</v>
      </c>
      <c r="G12" t="str">
        <f>IF('Tensión DC'!C13&lt;&gt;"",'Tensión DC'!C13,"")</f>
        <v>V</v>
      </c>
    </row>
    <row r="13" spans="1:8" x14ac:dyDescent="0.3">
      <c r="A13">
        <f>IF('Tensión DC'!A14&lt;&gt;"",'Tensión DC'!A14,"")</f>
        <v>3.7</v>
      </c>
      <c r="B13" s="11">
        <f>IF('Tensión DC'!B14&lt;&gt;"",'Tensión DC'!B14,"")</f>
        <v>3.718</v>
      </c>
      <c r="C13" t="str">
        <f>IF('Tensión DC'!C14&lt;&gt;"",'Tensión DC'!C14,"")</f>
        <v>V</v>
      </c>
      <c r="D13" s="11">
        <f>IF('Tensión DC'!I14&lt;&gt;"",'Tensión DC'!I14,"")</f>
        <v>3.7613999999999996</v>
      </c>
      <c r="E13" s="11">
        <f>IF('Tensión DC'!K14&lt;&gt;"",'Tensión DC'!K14,"")</f>
        <v>4.3399999999999661E-2</v>
      </c>
      <c r="F13" s="12">
        <f>IF('Tensión DC'!R14&lt;&gt;"",'Tensión DC'!R14,"")</f>
        <v>5.7960225929644732E-3</v>
      </c>
      <c r="G13" t="str">
        <f>IF('Tensión DC'!C14&lt;&gt;"",'Tensión DC'!C14,"")</f>
        <v>V</v>
      </c>
    </row>
    <row r="14" spans="1:8" x14ac:dyDescent="0.3">
      <c r="A14">
        <f>IF('Tensión DC'!A15&lt;&gt;"",'Tensión DC'!A15,"")</f>
        <v>4.2</v>
      </c>
      <c r="B14" s="11">
        <f>IF('Tensión DC'!B15&lt;&gt;"",'Tensión DC'!B15,"")</f>
        <v>4.2160000000000002</v>
      </c>
      <c r="C14" t="str">
        <f>IF('Tensión DC'!C15&lt;&gt;"",'Tensión DC'!C15,"")</f>
        <v>V</v>
      </c>
      <c r="D14" s="11">
        <f>IF('Tensión DC'!I15&lt;&gt;"",'Tensión DC'!I15,"")</f>
        <v>4.2667999999999999</v>
      </c>
      <c r="E14" s="11">
        <f>IF('Tensión DC'!K15&lt;&gt;"",'Tensión DC'!K15,"")</f>
        <v>5.0799999999999734E-2</v>
      </c>
      <c r="F14" s="12">
        <f>IF('Tensión DC'!R15&lt;&gt;"",'Tensión DC'!R15,"")</f>
        <v>5.7736622408306314E-2</v>
      </c>
      <c r="G14" t="str">
        <f>IF('Tensión DC'!C15&lt;&gt;"",'Tensión DC'!C15,"")</f>
        <v>V</v>
      </c>
    </row>
    <row r="15" spans="1:8" x14ac:dyDescent="0.3">
      <c r="A15">
        <f>IF('Tensión DC'!A16&lt;&gt;"",'Tensión DC'!A16,"")</f>
        <v>5</v>
      </c>
      <c r="B15" s="11">
        <f>IF('Tensión DC'!B16&lt;&gt;"",'Tensión DC'!B16,"")</f>
        <v>5.0049999999999999</v>
      </c>
      <c r="C15" t="str">
        <f>IF('Tensión DC'!C16&lt;&gt;"",'Tensión DC'!C16,"")</f>
        <v>V</v>
      </c>
      <c r="D15" s="11">
        <f>IF('Tensión DC'!I16&lt;&gt;"",'Tensión DC'!I16,"")</f>
        <v>5.0665999999999993</v>
      </c>
      <c r="E15" s="11">
        <f>IF('Tensión DC'!K16&lt;&gt;"",'Tensión DC'!K16,"")</f>
        <v>6.1599999999999433E-2</v>
      </c>
      <c r="F15" s="12">
        <f>IF('Tensión DC'!R16&lt;&gt;"",'Tensión DC'!R16,"")</f>
        <v>0.57735085006206543</v>
      </c>
      <c r="G15" t="str">
        <f>IF('Tensión DC'!C16&lt;&gt;"",'Tensión DC'!C16,"")</f>
        <v>V</v>
      </c>
    </row>
    <row r="16" spans="1:8" x14ac:dyDescent="0.3">
      <c r="A16" t="str">
        <f>IF('Tensión DC'!A17&lt;&gt;"",'Tensión DC'!A17,"")</f>
        <v/>
      </c>
      <c r="B16" s="11" t="str">
        <f>IF('Tensión DC'!B17&lt;&gt;"",'Tensión DC'!B17,"")</f>
        <v/>
      </c>
      <c r="C16" t="str">
        <f>IF('Tensión DC'!C17&lt;&gt;"",'Tensión DC'!C17,"")</f>
        <v/>
      </c>
      <c r="D16" s="11" t="str">
        <f>IF('Tensión DC'!I17&lt;&gt;"",'Tensión DC'!I17,"")</f>
        <v/>
      </c>
      <c r="E16" s="11" t="str">
        <f>IF('Tensión DC'!K17&lt;&gt;"",'Tensión DC'!K17,"")</f>
        <v/>
      </c>
      <c r="F16" s="12" t="str">
        <f>IF('Tensión DC'!R17&lt;&gt;"",'Tensión DC'!R17,"")</f>
        <v/>
      </c>
      <c r="G16" t="str">
        <f>IF('Tensión DC'!C17&lt;&gt;"",'Tensión DC'!C17,"")</f>
        <v/>
      </c>
    </row>
    <row r="17" spans="1:8" x14ac:dyDescent="0.3">
      <c r="A17" t="str">
        <f>IF('Tensión DC'!A18&lt;&gt;"",'Tensión DC'!A18,"")</f>
        <v/>
      </c>
      <c r="B17" s="11" t="str">
        <f>IF('Tensión DC'!B18&lt;&gt;"",'Tensión DC'!B18,"")</f>
        <v/>
      </c>
      <c r="C17" t="str">
        <f>IF('Tensión DC'!C18&lt;&gt;"",'Tensión DC'!C18,"")</f>
        <v/>
      </c>
      <c r="D17" s="11" t="str">
        <f>IF('Tensión DC'!I18&lt;&gt;"",'Tensión DC'!I18,"")</f>
        <v/>
      </c>
      <c r="E17" s="11" t="str">
        <f>IF('Tensión DC'!K18&lt;&gt;"",'Tensión DC'!K18,"")</f>
        <v/>
      </c>
      <c r="F17" s="12" t="str">
        <f>IF('Tensión DC'!R18&lt;&gt;"",'Tensión DC'!R18,"")</f>
        <v/>
      </c>
      <c r="G17" t="str">
        <f>IF('Tensión DC'!C18&lt;&gt;"",'Tensión DC'!C18,"")</f>
        <v/>
      </c>
    </row>
    <row r="18" spans="1:8" x14ac:dyDescent="0.3">
      <c r="A18" t="str">
        <f>IF('Tensión DC'!A19&lt;&gt;"",'Tensión DC'!A19,"")</f>
        <v/>
      </c>
      <c r="B18" s="11" t="str">
        <f>IF('Tensión DC'!B19&lt;&gt;"",'Tensión DC'!B19,"")</f>
        <v/>
      </c>
      <c r="C18" t="str">
        <f>IF('Tensión DC'!C19&lt;&gt;"",'Tensión DC'!C19,"")</f>
        <v/>
      </c>
      <c r="D18" s="11" t="str">
        <f>IF('Tensión DC'!I19&lt;&gt;"",'Tensión DC'!I19,"")</f>
        <v/>
      </c>
      <c r="E18" s="11" t="str">
        <f>IF('Tensión DC'!K19&lt;&gt;"",'Tensión DC'!K19,"")</f>
        <v/>
      </c>
      <c r="F18" s="12" t="str">
        <f>IF('Tensión DC'!R19&lt;&gt;"",'Tensión DC'!R19,"")</f>
        <v/>
      </c>
      <c r="G18" t="str">
        <f>IF('Tensión DC'!C19&lt;&gt;"",'Tensión DC'!C19,"")</f>
        <v/>
      </c>
    </row>
    <row r="19" spans="1:8" x14ac:dyDescent="0.3">
      <c r="A19" t="str">
        <f>IF('Tensión DC'!A20&lt;&gt;"",'Tensión DC'!A20,"")</f>
        <v/>
      </c>
      <c r="B19" s="11" t="str">
        <f>IF('Tensión DC'!B20&lt;&gt;"",'Tensión DC'!B20,"")</f>
        <v/>
      </c>
      <c r="C19" t="str">
        <f>IF('Tensión DC'!C20&lt;&gt;"",'Tensión DC'!C20,"")</f>
        <v/>
      </c>
      <c r="D19" s="11" t="str">
        <f>IF('Tensión DC'!I20&lt;&gt;"",'Tensión DC'!I20,"")</f>
        <v/>
      </c>
      <c r="E19" s="11" t="str">
        <f>IF('Tensión DC'!K20&lt;&gt;"",'Tensión DC'!K20,"")</f>
        <v/>
      </c>
      <c r="F19" s="12" t="str">
        <f>IF('Tensión DC'!R20&lt;&gt;"",'Tensión DC'!R20,"")</f>
        <v/>
      </c>
      <c r="G19" t="str">
        <f>IF('Tensión DC'!C20&lt;&gt;"",'Tensión DC'!C20,"")</f>
        <v/>
      </c>
    </row>
    <row r="20" spans="1:8" x14ac:dyDescent="0.3">
      <c r="A20" t="str">
        <f>IF('Tensión DC'!A21&lt;&gt;"",'Tensión DC'!A21,"")</f>
        <v/>
      </c>
      <c r="B20" s="11" t="str">
        <f>IF('Tensión DC'!B21&lt;&gt;"",'Tensión DC'!B21,"")</f>
        <v/>
      </c>
      <c r="C20" t="str">
        <f>IF('Tensión DC'!C21&lt;&gt;"",'Tensión DC'!C21,"")</f>
        <v/>
      </c>
      <c r="D20" s="11" t="str">
        <f>IF('Tensión DC'!I21&lt;&gt;"",'Tensión DC'!I21,"")</f>
        <v/>
      </c>
      <c r="E20" s="11" t="str">
        <f>IF('Tensión DC'!K21&lt;&gt;"",'Tensión DC'!K21,"")</f>
        <v/>
      </c>
      <c r="F20" s="12" t="str">
        <f>IF('Tensión DC'!R21&lt;&gt;"",'Tensión DC'!R21,"")</f>
        <v/>
      </c>
      <c r="G20" t="str">
        <f>IF('Tensión DC'!C21&lt;&gt;"",'Tensión DC'!C21,"")</f>
        <v/>
      </c>
    </row>
    <row r="22" spans="1:8" x14ac:dyDescent="0.3">
      <c r="A22" s="39" t="s">
        <v>217</v>
      </c>
      <c r="B22" s="40"/>
      <c r="C22" s="40"/>
      <c r="D22" s="40"/>
      <c r="E22" s="40"/>
      <c r="F22" s="40"/>
      <c r="G22" s="40"/>
      <c r="H22" s="40"/>
    </row>
    <row r="23" spans="1:8" x14ac:dyDescent="0.3">
      <c r="A23" s="15" t="s">
        <v>53</v>
      </c>
      <c r="B23" s="15" t="s">
        <v>54</v>
      </c>
      <c r="C23" s="15" t="s">
        <v>108</v>
      </c>
      <c r="D23" s="15" t="s">
        <v>55</v>
      </c>
      <c r="E23" s="15" t="s">
        <v>218</v>
      </c>
      <c r="F23" s="15" t="s">
        <v>215</v>
      </c>
      <c r="G23" s="15" t="s">
        <v>216</v>
      </c>
      <c r="H23" s="15" t="s">
        <v>55</v>
      </c>
    </row>
    <row r="24" spans="1:8" x14ac:dyDescent="0.3">
      <c r="A24" t="str">
        <f>IF('Tensión AC'!A12&lt;&gt;"",'Tensión AC'!A12,"")</f>
        <v/>
      </c>
      <c r="B24" t="str">
        <f>IF('Tensión AC'!B12&lt;&gt;"",'Tensión AC'!B12,"")</f>
        <v/>
      </c>
      <c r="C24" t="str">
        <f>IF('Tensión AC'!C12&lt;&gt;"",'Tensión AC'!C12,"")</f>
        <v/>
      </c>
      <c r="D24" t="str">
        <f>IF('Tensión AC'!D12&lt;&gt;"",'Tensión AC'!D12,"")</f>
        <v>V</v>
      </c>
      <c r="E24" s="11" t="str">
        <f>IF('Tensión AC'!J12&lt;&gt;"",'Tensión AC'!J12,"")</f>
        <v/>
      </c>
      <c r="F24" s="11" t="str">
        <f>IF('Tensión AC'!L12&lt;&gt;"",'Tensión AC'!L12,"")</f>
        <v/>
      </c>
      <c r="G24" s="12" t="str">
        <f>IF('Tensión AC'!S12&lt;&gt;"",'Tensión AC'!S12,"")</f>
        <v/>
      </c>
      <c r="H24" t="str">
        <f>IF('Tensión AC'!D12&lt;&gt;"",'Tensión AC'!D12,"")</f>
        <v>V</v>
      </c>
    </row>
    <row r="25" spans="1:8" x14ac:dyDescent="0.3">
      <c r="A25" t="str">
        <f>IF('Tensión AC'!A13&lt;&gt;"",'Tensión AC'!A13,"")</f>
        <v/>
      </c>
      <c r="B25" t="str">
        <f>IF('Tensión AC'!B13&lt;&gt;"",'Tensión AC'!B13,"")</f>
        <v/>
      </c>
      <c r="C25" t="str">
        <f>IF('Tensión AC'!C13&lt;&gt;"",'Tensión AC'!C13,"")</f>
        <v/>
      </c>
      <c r="D25" t="str">
        <f>IF('Tensión AC'!D13&lt;&gt;"",'Tensión AC'!D13,"")</f>
        <v>V</v>
      </c>
      <c r="E25" s="11" t="str">
        <f>IF('Tensión AC'!J13&lt;&gt;"",'Tensión AC'!J13,"")</f>
        <v/>
      </c>
      <c r="F25" s="11" t="str">
        <f>IF('Tensión AC'!L13&lt;&gt;"",'Tensión AC'!L13,"")</f>
        <v/>
      </c>
      <c r="G25" s="12" t="str">
        <f>IF('Tensión AC'!S13&lt;&gt;"",'Tensión AC'!S13,"")</f>
        <v/>
      </c>
      <c r="H25" t="str">
        <f>IF('Tensión AC'!D13&lt;&gt;"",'Tensión AC'!D13,"")</f>
        <v>V</v>
      </c>
    </row>
    <row r="26" spans="1:8" x14ac:dyDescent="0.3">
      <c r="A26" t="str">
        <f>IF('Tensión AC'!A14&lt;&gt;"",'Tensión AC'!A14,"")</f>
        <v/>
      </c>
      <c r="B26" t="str">
        <f>IF('Tensión AC'!B14&lt;&gt;"",'Tensión AC'!B14,"")</f>
        <v/>
      </c>
      <c r="C26" t="str">
        <f>IF('Tensión AC'!C14&lt;&gt;"",'Tensión AC'!C14,"")</f>
        <v/>
      </c>
      <c r="D26" t="str">
        <f>IF('Tensión AC'!D14&lt;&gt;"",'Tensión AC'!D14,"")</f>
        <v>V</v>
      </c>
      <c r="E26" s="11" t="str">
        <f>IF('Tensión AC'!J14&lt;&gt;"",'Tensión AC'!J14,"")</f>
        <v/>
      </c>
      <c r="F26" s="11" t="str">
        <f>IF('Tensión AC'!L14&lt;&gt;"",'Tensión AC'!L14,"")</f>
        <v/>
      </c>
      <c r="G26" s="12" t="str">
        <f>IF('Tensión AC'!S14&lt;&gt;"",'Tensión AC'!S14,"")</f>
        <v/>
      </c>
      <c r="H26" t="str">
        <f>IF('Tensión AC'!D14&lt;&gt;"",'Tensión AC'!D14,"")</f>
        <v>V</v>
      </c>
    </row>
    <row r="27" spans="1:8" x14ac:dyDescent="0.3">
      <c r="A27" t="str">
        <f>IF('Tensión AC'!A15&lt;&gt;"",'Tensión AC'!A15,"")</f>
        <v/>
      </c>
      <c r="B27" t="str">
        <f>IF('Tensión AC'!B15&lt;&gt;"",'Tensión AC'!B15,"")</f>
        <v/>
      </c>
      <c r="C27" t="str">
        <f>IF('Tensión AC'!C15&lt;&gt;"",'Tensión AC'!C15,"")</f>
        <v/>
      </c>
      <c r="D27" t="str">
        <f>IF('Tensión AC'!D15&lt;&gt;"",'Tensión AC'!D15,"")</f>
        <v>V</v>
      </c>
      <c r="E27" s="11" t="str">
        <f>IF('Tensión AC'!J15&lt;&gt;"",'Tensión AC'!J15,"")</f>
        <v/>
      </c>
      <c r="F27" s="11" t="str">
        <f>IF('Tensión AC'!L15&lt;&gt;"",'Tensión AC'!L15,"")</f>
        <v/>
      </c>
      <c r="G27" s="12" t="str">
        <f>IF('Tensión AC'!S15&lt;&gt;"",'Tensión AC'!S15,"")</f>
        <v/>
      </c>
      <c r="H27" t="str">
        <f>IF('Tensión AC'!D15&lt;&gt;"",'Tensión AC'!D15,"")</f>
        <v>V</v>
      </c>
    </row>
    <row r="28" spans="1:8" x14ac:dyDescent="0.3">
      <c r="A28" t="str">
        <f>IF('Tensión AC'!A16&lt;&gt;"",'Tensión AC'!A16,"")</f>
        <v/>
      </c>
      <c r="B28" t="str">
        <f>IF('Tensión AC'!B16&lt;&gt;"",'Tensión AC'!B16,"")</f>
        <v/>
      </c>
      <c r="C28" t="str">
        <f>IF('Tensión AC'!C16&lt;&gt;"",'Tensión AC'!C16,"")</f>
        <v/>
      </c>
      <c r="D28" t="str">
        <f>IF('Tensión AC'!D16&lt;&gt;"",'Tensión AC'!D16,"")</f>
        <v/>
      </c>
      <c r="E28" s="11" t="str">
        <f>IF('Tensión AC'!J16&lt;&gt;"",'Tensión AC'!J16,"")</f>
        <v/>
      </c>
      <c r="F28" s="11" t="str">
        <f>IF('Tensión AC'!L16&lt;&gt;"",'Tensión AC'!L16,"")</f>
        <v/>
      </c>
      <c r="G28" s="12" t="str">
        <f>IF('Tensión AC'!S16&lt;&gt;"",'Tensión AC'!S16,"")</f>
        <v/>
      </c>
      <c r="H28" t="str">
        <f>IF('Tensión AC'!D16&lt;&gt;"",'Tensión AC'!D16,"")</f>
        <v/>
      </c>
    </row>
    <row r="29" spans="1:8" x14ac:dyDescent="0.3">
      <c r="A29" t="str">
        <f>IF('Tensión AC'!A17&lt;&gt;"",'Tensión AC'!A17,"")</f>
        <v/>
      </c>
      <c r="B29" t="str">
        <f>IF('Tensión AC'!B17&lt;&gt;"",'Tensión AC'!B17,"")</f>
        <v/>
      </c>
      <c r="C29" t="str">
        <f>IF('Tensión AC'!C17&lt;&gt;"",'Tensión AC'!C17,"")</f>
        <v/>
      </c>
      <c r="D29" t="str">
        <f>IF('Tensión AC'!D17&lt;&gt;"",'Tensión AC'!D17,"")</f>
        <v/>
      </c>
      <c r="E29" s="11" t="str">
        <f>IF('Tensión AC'!J17&lt;&gt;"",'Tensión AC'!J17,"")</f>
        <v/>
      </c>
      <c r="F29" s="11" t="str">
        <f>IF('Tensión AC'!L17&lt;&gt;"",'Tensión AC'!L17,"")</f>
        <v/>
      </c>
      <c r="G29" s="12" t="str">
        <f>IF('Tensión AC'!S17&lt;&gt;"",'Tensión AC'!S17,"")</f>
        <v/>
      </c>
      <c r="H29" t="str">
        <f>IF('Tensión AC'!D17&lt;&gt;"",'Tensión AC'!D17,"")</f>
        <v/>
      </c>
    </row>
    <row r="30" spans="1:8" x14ac:dyDescent="0.3">
      <c r="A30" t="str">
        <f>IF('Tensión AC'!A18&lt;&gt;"",'Tensión AC'!A18,"")</f>
        <v/>
      </c>
      <c r="B30" t="str">
        <f>IF('Tensión AC'!B18&lt;&gt;"",'Tensión AC'!B18,"")</f>
        <v/>
      </c>
      <c r="C30" t="str">
        <f>IF('Tensión AC'!C18&lt;&gt;"",'Tensión AC'!C18,"")</f>
        <v/>
      </c>
      <c r="D30" t="str">
        <f>IF('Tensión AC'!D18&lt;&gt;"",'Tensión AC'!D18,"")</f>
        <v/>
      </c>
      <c r="E30" s="11" t="str">
        <f>IF('Tensión AC'!J18&lt;&gt;"",'Tensión AC'!J18,"")</f>
        <v/>
      </c>
      <c r="F30" s="11" t="str">
        <f>IF('Tensión AC'!L18&lt;&gt;"",'Tensión AC'!L18,"")</f>
        <v/>
      </c>
      <c r="G30" s="12" t="str">
        <f>IF('Tensión AC'!S18&lt;&gt;"",'Tensión AC'!S18,"")</f>
        <v/>
      </c>
      <c r="H30" t="str">
        <f>IF('Tensión AC'!D18&lt;&gt;"",'Tensión AC'!D18,"")</f>
        <v/>
      </c>
    </row>
    <row r="31" spans="1:8" x14ac:dyDescent="0.3">
      <c r="A31" t="str">
        <f>IF('Tensión AC'!A19&lt;&gt;"",'Tensión AC'!A19,"")</f>
        <v/>
      </c>
      <c r="B31" t="str">
        <f>IF('Tensión AC'!B19&lt;&gt;"",'Tensión AC'!B19,"")</f>
        <v/>
      </c>
      <c r="C31" t="str">
        <f>IF('Tensión AC'!C19&lt;&gt;"",'Tensión AC'!C19,"")</f>
        <v/>
      </c>
      <c r="D31" t="str">
        <f>IF('Tensión AC'!D19&lt;&gt;"",'Tensión AC'!D19,"")</f>
        <v/>
      </c>
      <c r="E31" s="11" t="str">
        <f>IF('Tensión AC'!J19&lt;&gt;"",'Tensión AC'!J19,"")</f>
        <v/>
      </c>
      <c r="F31" s="11" t="str">
        <f>IF('Tensión AC'!L19&lt;&gt;"",'Tensión AC'!L19,"")</f>
        <v/>
      </c>
      <c r="G31" s="12" t="str">
        <f>IF('Tensión AC'!S19&lt;&gt;"",'Tensión AC'!S19,"")</f>
        <v/>
      </c>
      <c r="H31" t="str">
        <f>IF('Tensión AC'!D19&lt;&gt;"",'Tensión AC'!D19,"")</f>
        <v/>
      </c>
    </row>
    <row r="32" spans="1:8" x14ac:dyDescent="0.3">
      <c r="A32" t="str">
        <f>IF('Tensión AC'!A20&lt;&gt;"",'Tensión AC'!A20,"")</f>
        <v/>
      </c>
      <c r="B32" t="str">
        <f>IF('Tensión AC'!B20&lt;&gt;"",'Tensión AC'!B20,"")</f>
        <v/>
      </c>
      <c r="C32" t="str">
        <f>IF('Tensión AC'!C20&lt;&gt;"",'Tensión AC'!C20,"")</f>
        <v/>
      </c>
      <c r="D32" t="str">
        <f>IF('Tensión AC'!D20&lt;&gt;"",'Tensión AC'!D20,"")</f>
        <v/>
      </c>
      <c r="E32" s="11" t="str">
        <f>IF('Tensión AC'!J20&lt;&gt;"",'Tensión AC'!J20,"")</f>
        <v/>
      </c>
      <c r="F32" s="11" t="str">
        <f>IF('Tensión AC'!L20&lt;&gt;"",'Tensión AC'!L20,"")</f>
        <v/>
      </c>
      <c r="G32" s="12" t="str">
        <f>IF('Tensión AC'!S20&lt;&gt;"",'Tensión AC'!S20,"")</f>
        <v/>
      </c>
      <c r="H32" t="str">
        <f>IF('Tensión AC'!D20&lt;&gt;"",'Tensión AC'!D20,"")</f>
        <v/>
      </c>
    </row>
    <row r="33" spans="1:8" x14ac:dyDescent="0.3">
      <c r="A33" t="str">
        <f>IF('Tensión AC'!A21&lt;&gt;"",'Tensión AC'!A21,"")</f>
        <v/>
      </c>
      <c r="B33" t="str">
        <f>IF('Tensión AC'!B21&lt;&gt;"",'Tensión AC'!B21,"")</f>
        <v/>
      </c>
      <c r="C33" t="str">
        <f>IF('Tensión AC'!C21&lt;&gt;"",'Tensión AC'!C21,"")</f>
        <v/>
      </c>
      <c r="D33" t="str">
        <f>IF('Tensión AC'!D21&lt;&gt;"",'Tensión AC'!D21,"")</f>
        <v/>
      </c>
      <c r="E33" s="11" t="str">
        <f>IF('Tensión AC'!J21&lt;&gt;"",'Tensión AC'!J21,"")</f>
        <v/>
      </c>
      <c r="F33" s="11" t="str">
        <f>IF('Tensión AC'!L21&lt;&gt;"",'Tensión AC'!L21,"")</f>
        <v/>
      </c>
      <c r="G33" s="12" t="str">
        <f>IF('Tensión AC'!S21&lt;&gt;"",'Tensión AC'!S21,"")</f>
        <v/>
      </c>
      <c r="H33" t="str">
        <f>IF('Tensión AC'!D21&lt;&gt;"",'Tensión AC'!D21,"")</f>
        <v/>
      </c>
    </row>
    <row r="35" spans="1:8" x14ac:dyDescent="0.3">
      <c r="A35" s="52" t="s">
        <v>219</v>
      </c>
      <c r="B35" s="53"/>
      <c r="C35" s="53"/>
      <c r="D35" s="53"/>
      <c r="E35" s="53"/>
      <c r="F35" s="53"/>
      <c r="G35" s="53"/>
      <c r="H35" s="53"/>
    </row>
    <row r="36" spans="1:8" x14ac:dyDescent="0.3">
      <c r="A36" s="7" t="s">
        <v>53</v>
      </c>
      <c r="B36" s="7" t="s">
        <v>54</v>
      </c>
      <c r="C36" s="7" t="s">
        <v>55</v>
      </c>
      <c r="D36" s="7" t="s">
        <v>214</v>
      </c>
      <c r="E36" s="7" t="s">
        <v>215</v>
      </c>
      <c r="F36" s="7" t="s">
        <v>216</v>
      </c>
      <c r="G36" s="7" t="s">
        <v>55</v>
      </c>
    </row>
    <row r="37" spans="1:8" x14ac:dyDescent="0.3">
      <c r="A37" t="str">
        <f>IF('Corriente DC'!A12&lt;&gt;"",'Corriente DC'!A12,"")</f>
        <v>10 mA</v>
      </c>
      <c r="B37" s="11">
        <f>IF('Corriente DC'!B12&lt;&gt;"",'Corriente DC'!B12,"")</f>
        <v>10.46</v>
      </c>
      <c r="C37" t="str">
        <f>IF('Corriente DC'!C12&lt;&gt;"",'Corriente DC'!C12,"")</f>
        <v>mA</v>
      </c>
      <c r="D37" s="11">
        <f>IF('Corriente DC'!I12&lt;&gt;"",'Corriente DC'!I12,"")</f>
        <v>10.122</v>
      </c>
      <c r="E37" s="11">
        <f>IF('Corriente DC'!K12&lt;&gt;"",'Corriente DC'!K12,"")</f>
        <v>-0.33800000000000097</v>
      </c>
      <c r="F37" s="12">
        <f>IF('Corriente DC'!R12&lt;&gt;"",'Corriente DC'!R12,"")</f>
        <v>0.24636635096065093</v>
      </c>
      <c r="G37" t="str">
        <f>IF('Corriente DC'!C12&lt;&gt;"",'Corriente DC'!C12,"")</f>
        <v>mA</v>
      </c>
    </row>
    <row r="38" spans="1:8" x14ac:dyDescent="0.3">
      <c r="A38" t="str">
        <f>IF('Corriente DC'!A13&lt;&gt;"",'Corriente DC'!A13,"")</f>
        <v>250 mA</v>
      </c>
      <c r="B38" s="11">
        <f>IF('Corriente DC'!B13&lt;&gt;"",'Corriente DC'!B13,"")</f>
        <v>246.92599999999999</v>
      </c>
      <c r="C38" t="str">
        <f>IF('Corriente DC'!C13&lt;&gt;"",'Corriente DC'!C13,"")</f>
        <v>mA</v>
      </c>
      <c r="D38" s="11">
        <f>IF('Corriente DC'!I13&lt;&gt;"",'Corriente DC'!I13,"")</f>
        <v>247.00799999999998</v>
      </c>
      <c r="E38" s="11">
        <f>IF('Corriente DC'!K13&lt;&gt;"",'Corriente DC'!K13,"")</f>
        <v>8.1999999999993634E-2</v>
      </c>
      <c r="F38" s="12">
        <f>IF('Corriente DC'!R13&lt;&gt;"",'Corriente DC'!R13,"")</f>
        <v>0.5333100139689777</v>
      </c>
      <c r="G38" t="str">
        <f>IF('Corriente DC'!C13&lt;&gt;"",'Corriente DC'!C13,"")</f>
        <v>mA</v>
      </c>
    </row>
    <row r="39" spans="1:8" x14ac:dyDescent="0.3">
      <c r="A39" t="str">
        <f>IF('Corriente DC'!A14&lt;&gt;"",'Corriente DC'!A14,"")</f>
        <v>500 mA</v>
      </c>
      <c r="B39" s="11">
        <f>IF('Corriente DC'!B14&lt;&gt;"",'Corriente DC'!B14,"")</f>
        <v>493.95100000000002</v>
      </c>
      <c r="C39" t="str">
        <f>IF('Corriente DC'!C14&lt;&gt;"",'Corriente DC'!C14,"")</f>
        <v>mA</v>
      </c>
      <c r="D39" s="11">
        <f>IF('Corriente DC'!I14&lt;&gt;"",'Corriente DC'!I14,"")</f>
        <v>494.11800000000005</v>
      </c>
      <c r="E39" s="11">
        <f>IF('Corriente DC'!K14&lt;&gt;"",'Corriente DC'!K14,"")</f>
        <v>0.16700000000003001</v>
      </c>
      <c r="F39" s="12">
        <f>IF('Corriente DC'!R14&lt;&gt;"",'Corriente DC'!R14,"")</f>
        <v>1.1597887540996399</v>
      </c>
      <c r="G39" t="str">
        <f>IF('Corriente DC'!C14&lt;&gt;"",'Corriente DC'!C14,"")</f>
        <v>mA</v>
      </c>
    </row>
    <row r="40" spans="1:8" x14ac:dyDescent="0.3">
      <c r="A40" t="str">
        <f>IF('Corriente DC'!A15&lt;&gt;"",'Corriente DC'!A15,"")</f>
        <v>1,0 A</v>
      </c>
      <c r="B40" s="11">
        <f>IF('Corriente DC'!B15&lt;&gt;"",'Corriente DC'!B15,"")</f>
        <v>989.44299999999998</v>
      </c>
      <c r="C40" t="str">
        <f>IF('Corriente DC'!C15&lt;&gt;"",'Corriente DC'!C15,"")</f>
        <v>mA</v>
      </c>
      <c r="D40" s="11">
        <f>IF('Corriente DC'!I15&lt;&gt;"",'Corriente DC'!I15,"")</f>
        <v>996.75</v>
      </c>
      <c r="E40" s="11">
        <f>IF('Corriente DC'!K15&lt;&gt;"",'Corriente DC'!K15,"")</f>
        <v>7.3070000000000164</v>
      </c>
      <c r="F40" s="12">
        <f>IF('Corriente DC'!R15&lt;&gt;"",'Corriente DC'!R15,"")</f>
        <v>0.12831592908973383</v>
      </c>
      <c r="G40" t="str">
        <f>IF('Corriente DC'!C15&lt;&gt;"",'Corriente DC'!C15,"")</f>
        <v>mA</v>
      </c>
    </row>
    <row r="41" spans="1:8" x14ac:dyDescent="0.3">
      <c r="A41" t="str">
        <f>IF('Corriente DC'!A16&lt;&gt;"",'Corriente DC'!A16,"")</f>
        <v>2,0 A</v>
      </c>
      <c r="B41" s="11">
        <f>IF('Corriente DC'!B16&lt;&gt;"",'Corriente DC'!B16,"")</f>
        <v>1986.89</v>
      </c>
      <c r="C41" t="str">
        <f>IF('Corriente DC'!C16&lt;&gt;"",'Corriente DC'!C16,"")</f>
        <v>mA</v>
      </c>
      <c r="D41" s="11">
        <f>IF('Corriente DC'!I16&lt;&gt;"",'Corriente DC'!I16,"")</f>
        <v>2054.4580000000001</v>
      </c>
      <c r="E41" s="11">
        <f>IF('Corriente DC'!K16&lt;&gt;"",'Corriente DC'!K16,"")</f>
        <v>67.567999999999984</v>
      </c>
      <c r="F41" s="12">
        <f>IF('Corriente DC'!R16&lt;&gt;"",'Corriente DC'!R16,"")</f>
        <v>0.40818021631832679</v>
      </c>
      <c r="G41" t="str">
        <f>IF('Corriente DC'!C16&lt;&gt;"",'Corriente DC'!C16,"")</f>
        <v>mA</v>
      </c>
    </row>
    <row r="42" spans="1:8" x14ac:dyDescent="0.3">
      <c r="A42" t="str">
        <f>IF('Corriente DC'!A17&lt;&gt;"",'Corriente DC'!A17,"")</f>
        <v/>
      </c>
      <c r="B42" s="11" t="str">
        <f>IF('Corriente DC'!B17&lt;&gt;"",'Corriente DC'!B17,"")</f>
        <v/>
      </c>
      <c r="C42" t="str">
        <f>IF('Corriente DC'!C17&lt;&gt;"",'Corriente DC'!C17,"")</f>
        <v/>
      </c>
      <c r="D42" s="11" t="str">
        <f>IF('Corriente DC'!I17&lt;&gt;"",'Corriente DC'!I17,"")</f>
        <v/>
      </c>
      <c r="E42" s="11" t="str">
        <f>IF('Corriente DC'!K17&lt;&gt;"",'Corriente DC'!K17,"")</f>
        <v/>
      </c>
      <c r="F42" s="12" t="str">
        <f>IF('Corriente DC'!R17&lt;&gt;"",'Corriente DC'!R17,"")</f>
        <v/>
      </c>
      <c r="G42" t="str">
        <f>IF('Corriente DC'!C17&lt;&gt;"",'Corriente DC'!C17,"")</f>
        <v/>
      </c>
    </row>
    <row r="43" spans="1:8" x14ac:dyDescent="0.3">
      <c r="A43" t="str">
        <f>IF('Corriente DC'!A18&lt;&gt;"",'Corriente DC'!A18,"")</f>
        <v/>
      </c>
      <c r="B43" s="11" t="str">
        <f>IF('Corriente DC'!B18&lt;&gt;"",'Corriente DC'!B18,"")</f>
        <v/>
      </c>
      <c r="C43" t="str">
        <f>IF('Corriente DC'!C18&lt;&gt;"",'Corriente DC'!C18,"")</f>
        <v/>
      </c>
      <c r="D43" s="11" t="str">
        <f>IF('Corriente DC'!I18&lt;&gt;"",'Corriente DC'!I18,"")</f>
        <v/>
      </c>
      <c r="E43" s="11" t="str">
        <f>IF('Corriente DC'!K18&lt;&gt;"",'Corriente DC'!K18,"")</f>
        <v/>
      </c>
      <c r="F43" s="12" t="str">
        <f>IF('Corriente DC'!R18&lt;&gt;"",'Corriente DC'!R18,"")</f>
        <v/>
      </c>
      <c r="G43" t="str">
        <f>IF('Corriente DC'!C18&lt;&gt;"",'Corriente DC'!C18,"")</f>
        <v/>
      </c>
    </row>
    <row r="44" spans="1:8" x14ac:dyDescent="0.3">
      <c r="A44" t="str">
        <f>IF('Corriente DC'!A19&lt;&gt;"",'Corriente DC'!A19,"")</f>
        <v/>
      </c>
      <c r="B44" s="11" t="str">
        <f>IF('Corriente DC'!B19&lt;&gt;"",'Corriente DC'!B19,"")</f>
        <v/>
      </c>
      <c r="C44" t="str">
        <f>IF('Corriente DC'!C19&lt;&gt;"",'Corriente DC'!C19,"")</f>
        <v/>
      </c>
      <c r="D44" s="11" t="str">
        <f>IF('Corriente DC'!I19&lt;&gt;"",'Corriente DC'!I19,"")</f>
        <v/>
      </c>
      <c r="E44" s="11" t="str">
        <f>IF('Corriente DC'!K19&lt;&gt;"",'Corriente DC'!K19,"")</f>
        <v/>
      </c>
      <c r="F44" s="12" t="str">
        <f>IF('Corriente DC'!R19&lt;&gt;"",'Corriente DC'!R19,"")</f>
        <v/>
      </c>
      <c r="G44" t="str">
        <f>IF('Corriente DC'!C19&lt;&gt;"",'Corriente DC'!C19,"")</f>
        <v/>
      </c>
    </row>
    <row r="45" spans="1:8" x14ac:dyDescent="0.3">
      <c r="A45" t="str">
        <f>IF('Corriente DC'!A20&lt;&gt;"",'Corriente DC'!A20,"")</f>
        <v/>
      </c>
      <c r="B45" s="11" t="str">
        <f>IF('Corriente DC'!B20&lt;&gt;"",'Corriente DC'!B20,"")</f>
        <v/>
      </c>
      <c r="C45" t="str">
        <f>IF('Corriente DC'!C20&lt;&gt;"",'Corriente DC'!C20,"")</f>
        <v/>
      </c>
      <c r="D45" s="11" t="str">
        <f>IF('Corriente DC'!I20&lt;&gt;"",'Corriente DC'!I20,"")</f>
        <v/>
      </c>
      <c r="E45" s="11" t="str">
        <f>IF('Corriente DC'!K20&lt;&gt;"",'Corriente DC'!K20,"")</f>
        <v/>
      </c>
      <c r="F45" s="12" t="str">
        <f>IF('Corriente DC'!R20&lt;&gt;"",'Corriente DC'!R20,"")</f>
        <v/>
      </c>
      <c r="G45" t="str">
        <f>IF('Corriente DC'!C20&lt;&gt;"",'Corriente DC'!C20,"")</f>
        <v/>
      </c>
    </row>
    <row r="46" spans="1:8" x14ac:dyDescent="0.3">
      <c r="A46" t="str">
        <f>IF('Corriente DC'!A21&lt;&gt;"",'Corriente DC'!A21,"")</f>
        <v/>
      </c>
      <c r="B46" s="11" t="str">
        <f>IF('Corriente DC'!B21&lt;&gt;"",'Corriente DC'!B21,"")</f>
        <v/>
      </c>
      <c r="C46" t="str">
        <f>IF('Corriente DC'!C21&lt;&gt;"",'Corriente DC'!C21,"")</f>
        <v/>
      </c>
      <c r="D46" s="11" t="str">
        <f>IF('Corriente DC'!I21&lt;&gt;"",'Corriente DC'!I21,"")</f>
        <v/>
      </c>
      <c r="E46" s="11" t="str">
        <f>IF('Corriente DC'!K21&lt;&gt;"",'Corriente DC'!K21,"")</f>
        <v/>
      </c>
      <c r="F46" s="12" t="str">
        <f>IF('Corriente DC'!R21&lt;&gt;"",'Corriente DC'!R21,"")</f>
        <v/>
      </c>
      <c r="G46" t="str">
        <f>IF('Corriente DC'!C21&lt;&gt;"",'Corriente DC'!C21,"")</f>
        <v/>
      </c>
    </row>
    <row r="48" spans="1:8" x14ac:dyDescent="0.3">
      <c r="A48" s="52" t="s">
        <v>220</v>
      </c>
      <c r="B48" s="53"/>
      <c r="C48" s="53"/>
      <c r="D48" s="53"/>
      <c r="E48" s="53"/>
      <c r="F48" s="53"/>
      <c r="G48" s="53"/>
      <c r="H48" s="53"/>
    </row>
    <row r="49" spans="1:8" x14ac:dyDescent="0.3">
      <c r="A49" s="7" t="s">
        <v>53</v>
      </c>
      <c r="B49" s="7" t="s">
        <v>54</v>
      </c>
      <c r="C49" s="7" t="s">
        <v>108</v>
      </c>
      <c r="D49" s="7" t="s">
        <v>55</v>
      </c>
      <c r="E49" s="7" t="s">
        <v>218</v>
      </c>
      <c r="F49" s="7" t="s">
        <v>215</v>
      </c>
      <c r="G49" s="7" t="s">
        <v>216</v>
      </c>
      <c r="H49" s="7" t="s">
        <v>55</v>
      </c>
    </row>
    <row r="50" spans="1:8" x14ac:dyDescent="0.3">
      <c r="A50" t="str">
        <f>IF('Corriente AC'!A12&lt;&gt;"",'Corriente AC'!A12,"")</f>
        <v>500 mA</v>
      </c>
      <c r="B50">
        <f>IF('Corriente AC'!B12&lt;&gt;"",'Corriente AC'!B12,"")</f>
        <v>0.5</v>
      </c>
      <c r="C50">
        <f>IF('Corriente AC'!C12&lt;&gt;"",'Corriente AC'!C12,"")</f>
        <v>60</v>
      </c>
      <c r="D50" t="str">
        <f>IF('Corriente AC'!D12&lt;&gt;"",'Corriente AC'!D12,"")</f>
        <v>A</v>
      </c>
      <c r="E50" s="11" t="str">
        <f>IF('Corriente AC'!J12&lt;&gt;"",'Corriente AC'!J12,"")</f>
        <v/>
      </c>
      <c r="F50" s="11" t="str">
        <f>IF('Corriente AC'!L12&lt;&gt;"",'Corriente AC'!L12,"")</f>
        <v/>
      </c>
      <c r="G50" s="12" t="str">
        <f>IF('Corriente AC'!S12&lt;&gt;"",'Corriente AC'!S12,"")</f>
        <v/>
      </c>
      <c r="H50" t="str">
        <f>IF('Corriente AC'!D12&lt;&gt;"",'Corriente AC'!D12,"")</f>
        <v>A</v>
      </c>
    </row>
    <row r="51" spans="1:8" x14ac:dyDescent="0.3">
      <c r="A51" t="str">
        <f>IF('Corriente AC'!A13&lt;&gt;"",'Corriente AC'!A13,"")</f>
        <v>500 mA</v>
      </c>
      <c r="B51">
        <f>IF('Corriente AC'!B13&lt;&gt;"",'Corriente AC'!B13,"")</f>
        <v>0.5</v>
      </c>
      <c r="C51">
        <f>IF('Corriente AC'!C13&lt;&gt;"",'Corriente AC'!C13,"")</f>
        <v>1000</v>
      </c>
      <c r="D51" t="str">
        <f>IF('Corriente AC'!D13&lt;&gt;"",'Corriente AC'!D13,"")</f>
        <v>A</v>
      </c>
      <c r="E51" s="11" t="str">
        <f>IF('Corriente AC'!J13&lt;&gt;"",'Corriente AC'!J13,"")</f>
        <v/>
      </c>
      <c r="F51" s="11" t="str">
        <f>IF('Corriente AC'!L13&lt;&gt;"",'Corriente AC'!L13,"")</f>
        <v/>
      </c>
      <c r="G51" s="12" t="str">
        <f>IF('Corriente AC'!S13&lt;&gt;"",'Corriente AC'!S13,"")</f>
        <v/>
      </c>
      <c r="H51" t="str">
        <f>IF('Corriente AC'!D13&lt;&gt;"",'Corriente AC'!D13,"")</f>
        <v>A</v>
      </c>
    </row>
    <row r="52" spans="1:8" x14ac:dyDescent="0.3">
      <c r="A52" t="str">
        <f>IF('Corriente AC'!A14&lt;&gt;"",'Corriente AC'!A14,"")</f>
        <v/>
      </c>
      <c r="B52" t="str">
        <f>IF('Corriente AC'!B14&lt;&gt;"",'Corriente AC'!B14,"")</f>
        <v/>
      </c>
      <c r="C52" t="str">
        <f>IF('Corriente AC'!C14&lt;&gt;"",'Corriente AC'!C14,"")</f>
        <v/>
      </c>
      <c r="D52" t="str">
        <f>IF('Corriente AC'!D14&lt;&gt;"",'Corriente AC'!D14,"")</f>
        <v/>
      </c>
      <c r="E52" s="11" t="str">
        <f>IF('Corriente AC'!J14&lt;&gt;"",'Corriente AC'!J14,"")</f>
        <v/>
      </c>
      <c r="F52" s="11" t="str">
        <f>IF('Corriente AC'!L14&lt;&gt;"",'Corriente AC'!L14,"")</f>
        <v/>
      </c>
      <c r="G52" s="12" t="str">
        <f>IF('Corriente AC'!S14&lt;&gt;"",'Corriente AC'!S14,"")</f>
        <v/>
      </c>
      <c r="H52" t="str">
        <f>IF('Corriente AC'!D14&lt;&gt;"",'Corriente AC'!D14,"")</f>
        <v/>
      </c>
    </row>
    <row r="53" spans="1:8" x14ac:dyDescent="0.3">
      <c r="A53" t="str">
        <f>IF('Corriente AC'!A15&lt;&gt;"",'Corriente AC'!A15,"")</f>
        <v/>
      </c>
      <c r="B53" t="str">
        <f>IF('Corriente AC'!B15&lt;&gt;"",'Corriente AC'!B15,"")</f>
        <v/>
      </c>
      <c r="C53" t="str">
        <f>IF('Corriente AC'!C15&lt;&gt;"",'Corriente AC'!C15,"")</f>
        <v/>
      </c>
      <c r="D53" t="str">
        <f>IF('Corriente AC'!D15&lt;&gt;"",'Corriente AC'!D15,"")</f>
        <v/>
      </c>
      <c r="E53" s="11" t="str">
        <f>IF('Corriente AC'!J15&lt;&gt;"",'Corriente AC'!J15,"")</f>
        <v/>
      </c>
      <c r="F53" s="11" t="str">
        <f>IF('Corriente AC'!L15&lt;&gt;"",'Corriente AC'!L15,"")</f>
        <v/>
      </c>
      <c r="G53" s="12" t="str">
        <f>IF('Corriente AC'!S15&lt;&gt;"",'Corriente AC'!S15,"")</f>
        <v/>
      </c>
      <c r="H53" t="str">
        <f>IF('Corriente AC'!D15&lt;&gt;"",'Corriente AC'!D15,"")</f>
        <v/>
      </c>
    </row>
    <row r="54" spans="1:8" x14ac:dyDescent="0.3">
      <c r="A54" t="str">
        <f>IF('Corriente AC'!A16&lt;&gt;"",'Corriente AC'!A16,"")</f>
        <v/>
      </c>
      <c r="B54" t="str">
        <f>IF('Corriente AC'!B16&lt;&gt;"",'Corriente AC'!B16,"")</f>
        <v/>
      </c>
      <c r="C54" t="str">
        <f>IF('Corriente AC'!C16&lt;&gt;"",'Corriente AC'!C16,"")</f>
        <v/>
      </c>
      <c r="D54" t="str">
        <f>IF('Corriente AC'!D16&lt;&gt;"",'Corriente AC'!D16,"")</f>
        <v/>
      </c>
      <c r="E54" s="11" t="str">
        <f>IF('Corriente AC'!J16&lt;&gt;"",'Corriente AC'!J16,"")</f>
        <v/>
      </c>
      <c r="F54" s="11" t="str">
        <f>IF('Corriente AC'!L16&lt;&gt;"",'Corriente AC'!L16,"")</f>
        <v/>
      </c>
      <c r="G54" s="12" t="str">
        <f>IF('Corriente AC'!S16&lt;&gt;"",'Corriente AC'!S16,"")</f>
        <v/>
      </c>
      <c r="H54" t="str">
        <f>IF('Corriente AC'!D16&lt;&gt;"",'Corriente AC'!D16,"")</f>
        <v/>
      </c>
    </row>
    <row r="55" spans="1:8" x14ac:dyDescent="0.3">
      <c r="A55" t="str">
        <f>IF('Corriente AC'!A17&lt;&gt;"",'Corriente AC'!A17,"")</f>
        <v/>
      </c>
      <c r="B55" t="str">
        <f>IF('Corriente AC'!B17&lt;&gt;"",'Corriente AC'!B17,"")</f>
        <v/>
      </c>
      <c r="C55" t="str">
        <f>IF('Corriente AC'!C17&lt;&gt;"",'Corriente AC'!C17,"")</f>
        <v/>
      </c>
      <c r="D55" t="str">
        <f>IF('Corriente AC'!D17&lt;&gt;"",'Corriente AC'!D17,"")</f>
        <v/>
      </c>
      <c r="E55" s="11" t="str">
        <f>IF('Corriente AC'!J17&lt;&gt;"",'Corriente AC'!J17,"")</f>
        <v/>
      </c>
      <c r="F55" s="11" t="str">
        <f>IF('Corriente AC'!L17&lt;&gt;"",'Corriente AC'!L17,"")</f>
        <v/>
      </c>
      <c r="G55" s="12" t="str">
        <f>IF('Corriente AC'!S17&lt;&gt;"",'Corriente AC'!S17,"")</f>
        <v/>
      </c>
      <c r="H55" t="str">
        <f>IF('Corriente AC'!D17&lt;&gt;"",'Corriente AC'!D17,"")</f>
        <v/>
      </c>
    </row>
    <row r="56" spans="1:8" x14ac:dyDescent="0.3">
      <c r="A56" t="str">
        <f>IF('Corriente AC'!A18&lt;&gt;"",'Corriente AC'!A18,"")</f>
        <v/>
      </c>
      <c r="B56" t="str">
        <f>IF('Corriente AC'!B18&lt;&gt;"",'Corriente AC'!B18,"")</f>
        <v/>
      </c>
      <c r="C56" t="str">
        <f>IF('Corriente AC'!C18&lt;&gt;"",'Corriente AC'!C18,"")</f>
        <v/>
      </c>
      <c r="D56" t="str">
        <f>IF('Corriente AC'!D18&lt;&gt;"",'Corriente AC'!D18,"")</f>
        <v/>
      </c>
      <c r="E56" s="11" t="str">
        <f>IF('Corriente AC'!J18&lt;&gt;"",'Corriente AC'!J18,"")</f>
        <v/>
      </c>
      <c r="F56" s="11" t="str">
        <f>IF('Corriente AC'!L18&lt;&gt;"",'Corriente AC'!L18,"")</f>
        <v/>
      </c>
      <c r="G56" s="12" t="str">
        <f>IF('Corriente AC'!S18&lt;&gt;"",'Corriente AC'!S18,"")</f>
        <v/>
      </c>
      <c r="H56" t="str">
        <f>IF('Corriente AC'!D18&lt;&gt;"",'Corriente AC'!D18,"")</f>
        <v/>
      </c>
    </row>
    <row r="57" spans="1:8" x14ac:dyDescent="0.3">
      <c r="A57" t="str">
        <f>IF('Corriente AC'!A19&lt;&gt;"",'Corriente AC'!A19,"")</f>
        <v/>
      </c>
      <c r="B57" t="str">
        <f>IF('Corriente AC'!B19&lt;&gt;"",'Corriente AC'!B19,"")</f>
        <v/>
      </c>
      <c r="C57" t="str">
        <f>IF('Corriente AC'!C19&lt;&gt;"",'Corriente AC'!C19,"")</f>
        <v/>
      </c>
      <c r="D57" t="str">
        <f>IF('Corriente AC'!D19&lt;&gt;"",'Corriente AC'!D19,"")</f>
        <v/>
      </c>
      <c r="E57" s="11" t="str">
        <f>IF('Corriente AC'!J19&lt;&gt;"",'Corriente AC'!J19,"")</f>
        <v/>
      </c>
      <c r="F57" s="11" t="str">
        <f>IF('Corriente AC'!L19&lt;&gt;"",'Corriente AC'!L19,"")</f>
        <v/>
      </c>
      <c r="G57" s="12" t="str">
        <f>IF('Corriente AC'!S19&lt;&gt;"",'Corriente AC'!S19,"")</f>
        <v/>
      </c>
      <c r="H57" t="str">
        <f>IF('Corriente AC'!D19&lt;&gt;"",'Corriente AC'!D19,"")</f>
        <v/>
      </c>
    </row>
    <row r="58" spans="1:8" x14ac:dyDescent="0.3">
      <c r="A58" t="str">
        <f>IF('Corriente AC'!A20&lt;&gt;"",'Corriente AC'!A20,"")</f>
        <v/>
      </c>
      <c r="B58" t="str">
        <f>IF('Corriente AC'!B20&lt;&gt;"",'Corriente AC'!B20,"")</f>
        <v/>
      </c>
      <c r="C58" t="str">
        <f>IF('Corriente AC'!C20&lt;&gt;"",'Corriente AC'!C20,"")</f>
        <v/>
      </c>
      <c r="D58" t="str">
        <f>IF('Corriente AC'!D20&lt;&gt;"",'Corriente AC'!D20,"")</f>
        <v/>
      </c>
      <c r="E58" s="11" t="str">
        <f>IF('Corriente AC'!J20&lt;&gt;"",'Corriente AC'!J20,"")</f>
        <v/>
      </c>
      <c r="F58" s="11" t="str">
        <f>IF('Corriente AC'!L20&lt;&gt;"",'Corriente AC'!L20,"")</f>
        <v/>
      </c>
      <c r="G58" s="12" t="str">
        <f>IF('Corriente AC'!S20&lt;&gt;"",'Corriente AC'!S20,"")</f>
        <v/>
      </c>
      <c r="H58" t="str">
        <f>IF('Corriente AC'!D20&lt;&gt;"",'Corriente AC'!D20,"")</f>
        <v/>
      </c>
    </row>
    <row r="59" spans="1:8" x14ac:dyDescent="0.3">
      <c r="A59" t="str">
        <f>IF('Corriente AC'!A21&lt;&gt;"",'Corriente AC'!A21,"")</f>
        <v/>
      </c>
      <c r="B59" t="str">
        <f>IF('Corriente AC'!B21&lt;&gt;"",'Corriente AC'!B21,"")</f>
        <v/>
      </c>
      <c r="C59" t="str">
        <f>IF('Corriente AC'!C21&lt;&gt;"",'Corriente AC'!C21,"")</f>
        <v/>
      </c>
      <c r="D59" t="str">
        <f>IF('Corriente AC'!D21&lt;&gt;"",'Corriente AC'!D21,"")</f>
        <v/>
      </c>
      <c r="E59" s="11" t="str">
        <f>IF('Corriente AC'!J21&lt;&gt;"",'Corriente AC'!J21,"")</f>
        <v/>
      </c>
      <c r="F59" s="11" t="str">
        <f>IF('Corriente AC'!L21&lt;&gt;"",'Corriente AC'!L21,"")</f>
        <v/>
      </c>
      <c r="G59" s="12" t="str">
        <f>IF('Corriente AC'!S21&lt;&gt;"",'Corriente AC'!S21,"")</f>
        <v/>
      </c>
      <c r="H59" t="str">
        <f>IF('Corriente AC'!D21&lt;&gt;"",'Corriente AC'!D21,"")</f>
        <v/>
      </c>
    </row>
    <row r="61" spans="1:8" x14ac:dyDescent="0.3">
      <c r="A61" s="55" t="s">
        <v>221</v>
      </c>
      <c r="B61" s="56"/>
      <c r="C61" s="56"/>
      <c r="D61" s="56"/>
      <c r="E61" s="56"/>
      <c r="F61" s="56"/>
      <c r="G61" s="56"/>
      <c r="H61" s="56"/>
    </row>
    <row r="62" spans="1:8" x14ac:dyDescent="0.3">
      <c r="A62" s="16" t="s">
        <v>53</v>
      </c>
      <c r="B62" s="16" t="s">
        <v>54</v>
      </c>
      <c r="C62" s="16" t="s">
        <v>55</v>
      </c>
      <c r="D62" s="16" t="s">
        <v>214</v>
      </c>
      <c r="E62" s="16" t="s">
        <v>215</v>
      </c>
      <c r="F62" s="16" t="s">
        <v>216</v>
      </c>
      <c r="G62" s="16" t="s">
        <v>55</v>
      </c>
    </row>
    <row r="63" spans="1:8" x14ac:dyDescent="0.3">
      <c r="A63" t="str">
        <f>IF(Resistencia!A12&lt;&gt;"",Resistencia!A12,"")</f>
        <v>500 Ω</v>
      </c>
      <c r="B63" s="14">
        <f>IF(Resistencia!B12&lt;&gt;"",Resistencia!B12,"")</f>
        <v>500</v>
      </c>
      <c r="C63" t="str">
        <f>IF(Resistencia!C12&lt;&gt;"",Resistencia!C12,"")</f>
        <v>Ω</v>
      </c>
      <c r="D63" s="14" t="str">
        <f>IF(Resistencia!I12&lt;&gt;"",Resistencia!I12,"")</f>
        <v/>
      </c>
      <c r="E63" s="14" t="str">
        <f>IF(Resistencia!K12&lt;&gt;"",Resistencia!K12,"")</f>
        <v/>
      </c>
      <c r="F63" s="12" t="str">
        <f>IF(Resistencia!R12&lt;&gt;"",Resistencia!R12,"")</f>
        <v/>
      </c>
      <c r="G63" t="str">
        <f>IF(Resistencia!C12&lt;&gt;"",Resistencia!C12,"")</f>
        <v>Ω</v>
      </c>
    </row>
    <row r="64" spans="1:8" x14ac:dyDescent="0.3">
      <c r="A64" t="str">
        <f>IF(Resistencia!A13&lt;&gt;"",Resistencia!A13,"")</f>
        <v>5 kΩ</v>
      </c>
      <c r="B64" s="14">
        <f>IF(Resistencia!B13&lt;&gt;"",Resistencia!B13,"")</f>
        <v>5000</v>
      </c>
      <c r="C64" t="str">
        <f>IF(Resistencia!C13&lt;&gt;"",Resistencia!C13,"")</f>
        <v>Ω</v>
      </c>
      <c r="D64" s="14" t="str">
        <f>IF(Resistencia!I13&lt;&gt;"",Resistencia!I13,"")</f>
        <v/>
      </c>
      <c r="E64" s="14" t="str">
        <f>IF(Resistencia!K13&lt;&gt;"",Resistencia!K13,"")</f>
        <v/>
      </c>
      <c r="F64" s="12" t="str">
        <f>IF(Resistencia!R13&lt;&gt;"",Resistencia!R13,"")</f>
        <v/>
      </c>
      <c r="G64" t="str">
        <f>IF(Resistencia!C13&lt;&gt;"",Resistencia!C13,"")</f>
        <v>Ω</v>
      </c>
    </row>
    <row r="65" spans="1:8" x14ac:dyDescent="0.3">
      <c r="A65" t="str">
        <f>IF(Resistencia!A14&lt;&gt;"",Resistencia!A14,"")</f>
        <v>50 kΩ</v>
      </c>
      <c r="B65" s="14">
        <f>IF(Resistencia!B14&lt;&gt;"",Resistencia!B14,"")</f>
        <v>50000</v>
      </c>
      <c r="C65" t="str">
        <f>IF(Resistencia!C14&lt;&gt;"",Resistencia!C14,"")</f>
        <v>Ω</v>
      </c>
      <c r="D65" s="14" t="str">
        <f>IF(Resistencia!I14&lt;&gt;"",Resistencia!I14,"")</f>
        <v/>
      </c>
      <c r="E65" s="14" t="str">
        <f>IF(Resistencia!K14&lt;&gt;"",Resistencia!K14,"")</f>
        <v/>
      </c>
      <c r="F65" s="12" t="str">
        <f>IF(Resistencia!R14&lt;&gt;"",Resistencia!R14,"")</f>
        <v/>
      </c>
      <c r="G65" t="str">
        <f>IF(Resistencia!C14&lt;&gt;"",Resistencia!C14,"")</f>
        <v>Ω</v>
      </c>
    </row>
    <row r="66" spans="1:8" x14ac:dyDescent="0.3">
      <c r="A66" t="str">
        <f>IF(Resistencia!A15&lt;&gt;"",Resistencia!A15,"")</f>
        <v>500 kΩ</v>
      </c>
      <c r="B66" s="14">
        <f>IF(Resistencia!B15&lt;&gt;"",Resistencia!B15,"")</f>
        <v>500000</v>
      </c>
      <c r="C66" t="str">
        <f>IF(Resistencia!C15&lt;&gt;"",Resistencia!C15,"")</f>
        <v>Ω</v>
      </c>
      <c r="D66" s="14" t="str">
        <f>IF(Resistencia!I15&lt;&gt;"",Resistencia!I15,"")</f>
        <v/>
      </c>
      <c r="E66" s="14" t="str">
        <f>IF(Resistencia!K15&lt;&gt;"",Resistencia!K15,"")</f>
        <v/>
      </c>
      <c r="F66" s="12" t="str">
        <f>IF(Resistencia!R15&lt;&gt;"",Resistencia!R15,"")</f>
        <v/>
      </c>
      <c r="G66" t="str">
        <f>IF(Resistencia!C15&lt;&gt;"",Resistencia!C15,"")</f>
        <v>Ω</v>
      </c>
    </row>
    <row r="67" spans="1:8" x14ac:dyDescent="0.3">
      <c r="A67" t="str">
        <f>IF(Resistencia!A16&lt;&gt;"",Resistencia!A16,"")</f>
        <v>5 MΩ</v>
      </c>
      <c r="B67" s="14">
        <f>IF(Resistencia!B16&lt;&gt;"",Resistencia!B16,"")</f>
        <v>5000000</v>
      </c>
      <c r="C67" t="str">
        <f>IF(Resistencia!C16&lt;&gt;"",Resistencia!C16,"")</f>
        <v>Ω</v>
      </c>
      <c r="D67" s="14" t="str">
        <f>IF(Resistencia!I16&lt;&gt;"",Resistencia!I16,"")</f>
        <v/>
      </c>
      <c r="E67" s="14" t="str">
        <f>IF(Resistencia!K16&lt;&gt;"",Resistencia!K16,"")</f>
        <v/>
      </c>
      <c r="F67" s="12" t="str">
        <f>IF(Resistencia!R16&lt;&gt;"",Resistencia!R16,"")</f>
        <v/>
      </c>
      <c r="G67" t="str">
        <f>IF(Resistencia!C16&lt;&gt;"",Resistencia!C16,"")</f>
        <v>Ω</v>
      </c>
    </row>
    <row r="68" spans="1:8" x14ac:dyDescent="0.3">
      <c r="A68" t="str">
        <f>IF(Resistencia!A17&lt;&gt;"",Resistencia!A17,"")</f>
        <v/>
      </c>
      <c r="B68" s="14" t="str">
        <f>IF(Resistencia!B17&lt;&gt;"",Resistencia!B17,"")</f>
        <v/>
      </c>
      <c r="C68" t="str">
        <f>IF(Resistencia!C17&lt;&gt;"",Resistencia!C17,"")</f>
        <v/>
      </c>
      <c r="D68" s="14" t="str">
        <f>IF(Resistencia!I17&lt;&gt;"",Resistencia!I17,"")</f>
        <v/>
      </c>
      <c r="E68" s="14" t="str">
        <f>IF(Resistencia!K17&lt;&gt;"",Resistencia!K17,"")</f>
        <v/>
      </c>
      <c r="F68" s="12" t="str">
        <f>IF(Resistencia!R17&lt;&gt;"",Resistencia!R17,"")</f>
        <v/>
      </c>
      <c r="G68" t="str">
        <f>IF(Resistencia!C17&lt;&gt;"",Resistencia!C17,"")</f>
        <v/>
      </c>
    </row>
    <row r="69" spans="1:8" x14ac:dyDescent="0.3">
      <c r="A69" t="str">
        <f>IF(Resistencia!A18&lt;&gt;"",Resistencia!A18,"")</f>
        <v/>
      </c>
      <c r="B69" s="14" t="str">
        <f>IF(Resistencia!B18&lt;&gt;"",Resistencia!B18,"")</f>
        <v/>
      </c>
      <c r="C69" t="str">
        <f>IF(Resistencia!C18&lt;&gt;"",Resistencia!C18,"")</f>
        <v/>
      </c>
      <c r="D69" s="14" t="str">
        <f>IF(Resistencia!I18&lt;&gt;"",Resistencia!I18,"")</f>
        <v/>
      </c>
      <c r="E69" s="14" t="str">
        <f>IF(Resistencia!K18&lt;&gt;"",Resistencia!K18,"")</f>
        <v/>
      </c>
      <c r="F69" s="12" t="str">
        <f>IF(Resistencia!R18&lt;&gt;"",Resistencia!R18,"")</f>
        <v/>
      </c>
      <c r="G69" t="str">
        <f>IF(Resistencia!C18&lt;&gt;"",Resistencia!C18,"")</f>
        <v/>
      </c>
    </row>
    <row r="70" spans="1:8" x14ac:dyDescent="0.3">
      <c r="A70" t="str">
        <f>IF(Resistencia!A19&lt;&gt;"",Resistencia!A19,"")</f>
        <v/>
      </c>
      <c r="B70" s="14" t="str">
        <f>IF(Resistencia!B19&lt;&gt;"",Resistencia!B19,"")</f>
        <v/>
      </c>
      <c r="C70" t="str">
        <f>IF(Resistencia!C19&lt;&gt;"",Resistencia!C19,"")</f>
        <v/>
      </c>
      <c r="D70" s="14" t="str">
        <f>IF(Resistencia!I19&lt;&gt;"",Resistencia!I19,"")</f>
        <v/>
      </c>
      <c r="E70" s="14" t="str">
        <f>IF(Resistencia!K19&lt;&gt;"",Resistencia!K19,"")</f>
        <v/>
      </c>
      <c r="F70" s="12" t="str">
        <f>IF(Resistencia!R19&lt;&gt;"",Resistencia!R19,"")</f>
        <v/>
      </c>
      <c r="G70" t="str">
        <f>IF(Resistencia!C19&lt;&gt;"",Resistencia!C19,"")</f>
        <v/>
      </c>
    </row>
    <row r="71" spans="1:8" x14ac:dyDescent="0.3">
      <c r="A71" t="str">
        <f>IF(Resistencia!A20&lt;&gt;"",Resistencia!A20,"")</f>
        <v/>
      </c>
      <c r="B71" s="14" t="str">
        <f>IF(Resistencia!B20&lt;&gt;"",Resistencia!B20,"")</f>
        <v/>
      </c>
      <c r="C71" t="str">
        <f>IF(Resistencia!C20&lt;&gt;"",Resistencia!C20,"")</f>
        <v/>
      </c>
      <c r="D71" s="14" t="str">
        <f>IF(Resistencia!I20&lt;&gt;"",Resistencia!I20,"")</f>
        <v/>
      </c>
      <c r="E71" s="14" t="str">
        <f>IF(Resistencia!K20&lt;&gt;"",Resistencia!K20,"")</f>
        <v/>
      </c>
      <c r="F71" s="12" t="str">
        <f>IF(Resistencia!R20&lt;&gt;"",Resistencia!R20,"")</f>
        <v/>
      </c>
      <c r="G71" t="str">
        <f>IF(Resistencia!C20&lt;&gt;"",Resistencia!C20,"")</f>
        <v/>
      </c>
    </row>
    <row r="72" spans="1:8" x14ac:dyDescent="0.3">
      <c r="A72" t="str">
        <f>IF(Resistencia!A21&lt;&gt;"",Resistencia!A21,"")</f>
        <v/>
      </c>
      <c r="B72" s="14" t="str">
        <f>IF(Resistencia!B21&lt;&gt;"",Resistencia!B21,"")</f>
        <v/>
      </c>
      <c r="C72" t="str">
        <f>IF(Resistencia!C21&lt;&gt;"",Resistencia!C21,"")</f>
        <v/>
      </c>
      <c r="D72" s="14" t="str">
        <f>IF(Resistencia!I21&lt;&gt;"",Resistencia!I21,"")</f>
        <v/>
      </c>
      <c r="E72" s="14" t="str">
        <f>IF(Resistencia!K21&lt;&gt;"",Resistencia!K21,"")</f>
        <v/>
      </c>
      <c r="F72" s="12" t="str">
        <f>IF(Resistencia!R21&lt;&gt;"",Resistencia!R21,"")</f>
        <v/>
      </c>
      <c r="G72" t="str">
        <f>IF(Resistencia!C21&lt;&gt;"",Resistencia!C21,"")</f>
        <v/>
      </c>
    </row>
    <row r="74" spans="1:8" x14ac:dyDescent="0.3">
      <c r="A74" s="43" t="s">
        <v>222</v>
      </c>
      <c r="B74" s="44"/>
      <c r="C74" s="44"/>
      <c r="D74" s="44"/>
      <c r="E74" s="44"/>
      <c r="F74" s="44"/>
      <c r="G74" s="44"/>
      <c r="H74" s="44"/>
    </row>
    <row r="75" spans="1:8" x14ac:dyDescent="0.3">
      <c r="A75" s="34" t="s">
        <v>223</v>
      </c>
      <c r="B75" s="34"/>
      <c r="C75" s="34"/>
      <c r="D75" s="34"/>
      <c r="E75" s="34"/>
      <c r="F75" s="34"/>
      <c r="G75" s="34"/>
      <c r="H75" s="34"/>
    </row>
    <row r="76" spans="1:8" x14ac:dyDescent="0.3">
      <c r="A76" s="34" t="s">
        <v>224</v>
      </c>
      <c r="B76" s="34"/>
      <c r="C76" s="34"/>
      <c r="D76" s="34"/>
      <c r="E76" s="34"/>
      <c r="F76" s="34"/>
      <c r="G76" s="34"/>
      <c r="H76" s="34"/>
    </row>
    <row r="78" spans="1:8" ht="43.2" x14ac:dyDescent="0.3">
      <c r="A78" s="6" t="s">
        <v>225</v>
      </c>
    </row>
    <row r="79" spans="1:8" ht="43.2" x14ac:dyDescent="0.3">
      <c r="A79" s="6" t="s">
        <v>226</v>
      </c>
    </row>
    <row r="80" spans="1:8" ht="43.2" x14ac:dyDescent="0.3">
      <c r="A80" s="6" t="s">
        <v>227</v>
      </c>
    </row>
    <row r="81" spans="1:8" ht="43.2" x14ac:dyDescent="0.3">
      <c r="A81" s="6" t="s">
        <v>228</v>
      </c>
    </row>
    <row r="82" spans="1:8" ht="57.6" x14ac:dyDescent="0.3">
      <c r="A82" s="6" t="s">
        <v>229</v>
      </c>
    </row>
    <row r="84" spans="1:8" ht="120" customHeight="1" x14ac:dyDescent="0.3">
      <c r="A84" s="57" t="s">
        <v>230</v>
      </c>
      <c r="B84" s="58"/>
      <c r="C84" s="58"/>
      <c r="D84" s="58"/>
      <c r="E84" s="58"/>
      <c r="F84" s="58"/>
      <c r="G84" s="58"/>
      <c r="H84" s="58"/>
    </row>
    <row r="86" spans="1:8" x14ac:dyDescent="0.3">
      <c r="A86" s="37" t="s">
        <v>231</v>
      </c>
      <c r="B86" s="34"/>
      <c r="C86" s="34"/>
      <c r="D86" s="34"/>
      <c r="E86" s="34"/>
      <c r="F86" s="34"/>
      <c r="G86" s="34"/>
      <c r="H86" s="34"/>
    </row>
    <row r="87" spans="1:8" x14ac:dyDescent="0.3">
      <c r="A87" s="7" t="s">
        <v>53</v>
      </c>
      <c r="B87" s="7" t="s">
        <v>54</v>
      </c>
      <c r="C87" s="7" t="s">
        <v>55</v>
      </c>
      <c r="D87" s="7" t="s">
        <v>214</v>
      </c>
      <c r="E87" s="7" t="s">
        <v>215</v>
      </c>
      <c r="F87" s="7" t="s">
        <v>216</v>
      </c>
      <c r="G87" s="7" t="s">
        <v>55</v>
      </c>
    </row>
    <row r="88" spans="1:8" x14ac:dyDescent="0.3">
      <c r="A88" t="s">
        <v>140</v>
      </c>
      <c r="B88" s="12">
        <f>Capacitancia!B12</f>
        <v>1.0000000000000001E-9</v>
      </c>
      <c r="C88" t="s">
        <v>131</v>
      </c>
      <c r="D88" s="12" t="str">
        <f>Capacitancia!I12</f>
        <v/>
      </c>
      <c r="E88" s="12" t="str">
        <f>Capacitancia!K12</f>
        <v/>
      </c>
      <c r="F88" s="12" t="str">
        <f>Capacitancia!R12</f>
        <v/>
      </c>
      <c r="G88" t="s">
        <v>131</v>
      </c>
    </row>
    <row r="89" spans="1:8" x14ac:dyDescent="0.3">
      <c r="A89" t="s">
        <v>141</v>
      </c>
      <c r="B89" s="12">
        <f>Capacitancia!B13</f>
        <v>1E-8</v>
      </c>
      <c r="C89" t="s">
        <v>131</v>
      </c>
      <c r="D89" s="12" t="str">
        <f>Capacitancia!I13</f>
        <v/>
      </c>
      <c r="E89" s="12" t="str">
        <f>Capacitancia!K13</f>
        <v/>
      </c>
      <c r="F89" s="12" t="str">
        <f>Capacitancia!R13</f>
        <v/>
      </c>
      <c r="G89" t="s">
        <v>131</v>
      </c>
    </row>
    <row r="90" spans="1:8" x14ac:dyDescent="0.3">
      <c r="A90" t="s">
        <v>142</v>
      </c>
      <c r="B90" s="12">
        <f>Capacitancia!B14</f>
        <v>9.9999999999999995E-8</v>
      </c>
      <c r="C90" t="s">
        <v>131</v>
      </c>
      <c r="D90" s="12" t="str">
        <f>Capacitancia!I14</f>
        <v/>
      </c>
      <c r="E90" s="12" t="str">
        <f>Capacitancia!K14</f>
        <v/>
      </c>
      <c r="F90" s="12" t="str">
        <f>Capacitancia!R14</f>
        <v/>
      </c>
      <c r="G90" t="s">
        <v>131</v>
      </c>
    </row>
    <row r="91" spans="1:8" x14ac:dyDescent="0.3">
      <c r="A91" t="s">
        <v>143</v>
      </c>
      <c r="B91" s="12">
        <f>Capacitancia!B15</f>
        <v>9.9999999999999995E-7</v>
      </c>
      <c r="C91" t="s">
        <v>131</v>
      </c>
      <c r="D91" s="12" t="str">
        <f>Capacitancia!I15</f>
        <v/>
      </c>
      <c r="E91" s="12" t="str">
        <f>Capacitancia!K15</f>
        <v/>
      </c>
      <c r="F91" s="12" t="str">
        <f>Capacitancia!R15</f>
        <v/>
      </c>
      <c r="G91" t="s">
        <v>131</v>
      </c>
    </row>
    <row r="92" spans="1:8" x14ac:dyDescent="0.3">
      <c r="A92" t="s">
        <v>144</v>
      </c>
      <c r="B92" s="12">
        <f>Capacitancia!B16</f>
        <v>1.0000000000000001E-5</v>
      </c>
      <c r="C92" t="s">
        <v>131</v>
      </c>
      <c r="D92" s="12" t="str">
        <f>Capacitancia!I16</f>
        <v/>
      </c>
      <c r="E92" s="12" t="str">
        <f>Capacitancia!K16</f>
        <v/>
      </c>
      <c r="F92" s="12" t="str">
        <f>Capacitancia!R16</f>
        <v/>
      </c>
      <c r="G92" t="s">
        <v>131</v>
      </c>
    </row>
    <row r="93" spans="1:8" x14ac:dyDescent="0.3">
      <c r="A93" t="s">
        <v>145</v>
      </c>
      <c r="B93" s="12">
        <f>Capacitancia!B17</f>
        <v>1E-4</v>
      </c>
      <c r="C93" t="s">
        <v>131</v>
      </c>
      <c r="D93" s="12" t="str">
        <f>Capacitancia!I17</f>
        <v/>
      </c>
      <c r="E93" s="12" t="str">
        <f>Capacitancia!K17</f>
        <v/>
      </c>
      <c r="F93" s="12" t="str">
        <f>Capacitancia!R17</f>
        <v/>
      </c>
      <c r="G93" t="s">
        <v>131</v>
      </c>
    </row>
    <row r="94" spans="1:8" x14ac:dyDescent="0.3">
      <c r="A94" t="s">
        <v>146</v>
      </c>
      <c r="B94" s="12">
        <f>Capacitancia!B18</f>
        <v>1E-3</v>
      </c>
      <c r="C94" t="s">
        <v>131</v>
      </c>
      <c r="D94" s="12" t="str">
        <f>Capacitancia!I18</f>
        <v/>
      </c>
      <c r="E94" s="12" t="str">
        <f>Capacitancia!K18</f>
        <v/>
      </c>
      <c r="F94" s="12" t="str">
        <f>Capacitancia!R18</f>
        <v/>
      </c>
      <c r="G94" t="s">
        <v>131</v>
      </c>
    </row>
    <row r="97" spans="1:8" x14ac:dyDescent="0.3">
      <c r="A97" s="37" t="s">
        <v>232</v>
      </c>
      <c r="B97" s="34"/>
      <c r="C97" s="34"/>
      <c r="D97" s="34"/>
      <c r="E97" s="34"/>
      <c r="F97" s="34"/>
      <c r="G97" s="34"/>
      <c r="H97" s="34"/>
    </row>
    <row r="98" spans="1:8" x14ac:dyDescent="0.3">
      <c r="A98" s="7" t="s">
        <v>53</v>
      </c>
      <c r="B98" s="7" t="s">
        <v>54</v>
      </c>
      <c r="C98" s="7" t="s">
        <v>55</v>
      </c>
      <c r="D98" s="7" t="s">
        <v>214</v>
      </c>
      <c r="E98" s="7" t="s">
        <v>215</v>
      </c>
      <c r="F98" s="7" t="s">
        <v>216</v>
      </c>
      <c r="G98" s="7" t="s">
        <v>55</v>
      </c>
    </row>
    <row r="99" spans="1:8" x14ac:dyDescent="0.3">
      <c r="A99" t="s">
        <v>158</v>
      </c>
      <c r="B99" s="19">
        <f>Frecuencia!B12</f>
        <v>10</v>
      </c>
      <c r="C99" t="s">
        <v>149</v>
      </c>
      <c r="D99" s="20" t="str">
        <f>Frecuencia!I12</f>
        <v/>
      </c>
      <c r="E99" s="12" t="str">
        <f>Frecuencia!K12</f>
        <v/>
      </c>
      <c r="F99" s="12" t="str">
        <f>Frecuencia!R12</f>
        <v/>
      </c>
      <c r="G99" t="s">
        <v>149</v>
      </c>
    </row>
    <row r="100" spans="1:8" x14ac:dyDescent="0.3">
      <c r="A100" t="s">
        <v>159</v>
      </c>
      <c r="B100" s="19">
        <f>Frecuencia!B13</f>
        <v>100</v>
      </c>
      <c r="C100" t="s">
        <v>149</v>
      </c>
      <c r="D100" s="14" t="str">
        <f>Frecuencia!I13</f>
        <v/>
      </c>
      <c r="E100" s="12" t="str">
        <f>Frecuencia!K13</f>
        <v/>
      </c>
      <c r="F100" s="12" t="str">
        <f>Frecuencia!R13</f>
        <v/>
      </c>
      <c r="G100" t="s">
        <v>149</v>
      </c>
    </row>
    <row r="101" spans="1:8" x14ac:dyDescent="0.3">
      <c r="A101" t="s">
        <v>160</v>
      </c>
      <c r="B101" s="19">
        <f>Frecuencia!B14</f>
        <v>1000</v>
      </c>
      <c r="C101" t="s">
        <v>149</v>
      </c>
      <c r="D101" s="32" t="str">
        <f>Frecuencia!I14</f>
        <v/>
      </c>
      <c r="E101" s="12" t="str">
        <f>Frecuencia!K14</f>
        <v/>
      </c>
      <c r="F101" s="12" t="str">
        <f>Frecuencia!R14</f>
        <v/>
      </c>
      <c r="G101" t="s">
        <v>149</v>
      </c>
    </row>
    <row r="102" spans="1:8" x14ac:dyDescent="0.3">
      <c r="A102" t="s">
        <v>161</v>
      </c>
      <c r="B102" s="19">
        <f>Frecuencia!B15</f>
        <v>10000</v>
      </c>
      <c r="C102" t="s">
        <v>149</v>
      </c>
      <c r="D102" s="25" t="str">
        <f>Frecuencia!I15</f>
        <v/>
      </c>
      <c r="E102" s="12" t="str">
        <f>Frecuencia!K15</f>
        <v/>
      </c>
      <c r="F102" s="12" t="str">
        <f>Frecuencia!R15</f>
        <v/>
      </c>
      <c r="G102" t="s">
        <v>149</v>
      </c>
    </row>
    <row r="103" spans="1:8" x14ac:dyDescent="0.3">
      <c r="A103" t="s">
        <v>162</v>
      </c>
      <c r="B103" s="19">
        <f>Frecuencia!B16</f>
        <v>100000</v>
      </c>
      <c r="C103" t="s">
        <v>149</v>
      </c>
      <c r="D103" s="25" t="str">
        <f>Frecuencia!I16</f>
        <v/>
      </c>
      <c r="E103" s="12" t="str">
        <f>Frecuencia!K16</f>
        <v/>
      </c>
      <c r="F103" s="12" t="str">
        <f>Frecuencia!R16</f>
        <v/>
      </c>
      <c r="G103" t="s">
        <v>149</v>
      </c>
    </row>
    <row r="104" spans="1:8" x14ac:dyDescent="0.3">
      <c r="A104" t="s">
        <v>163</v>
      </c>
      <c r="B104" s="19">
        <f>Frecuencia!B17</f>
        <v>1000000</v>
      </c>
      <c r="C104" t="s">
        <v>149</v>
      </c>
      <c r="D104" s="25" t="str">
        <f>Frecuencia!I17</f>
        <v/>
      </c>
      <c r="E104" s="12" t="str">
        <f>Frecuencia!K17</f>
        <v/>
      </c>
      <c r="F104" s="12" t="str">
        <f>Frecuencia!R17</f>
        <v/>
      </c>
      <c r="G104" t="s">
        <v>149</v>
      </c>
    </row>
    <row r="105" spans="1:8" x14ac:dyDescent="0.3">
      <c r="A105" t="s">
        <v>164</v>
      </c>
      <c r="B105" s="19">
        <f>Frecuencia!B18</f>
        <v>10000000</v>
      </c>
      <c r="C105" t="s">
        <v>149</v>
      </c>
      <c r="D105" s="25" t="str">
        <f>Frecuencia!I18</f>
        <v/>
      </c>
      <c r="E105" s="12" t="str">
        <f>Frecuencia!K18</f>
        <v/>
      </c>
      <c r="F105" s="12" t="str">
        <f>Frecuencia!R18</f>
        <v/>
      </c>
      <c r="G105" t="s">
        <v>149</v>
      </c>
    </row>
    <row r="108" spans="1:8" x14ac:dyDescent="0.3">
      <c r="A108" s="45" t="s">
        <v>233</v>
      </c>
      <c r="B108" s="34"/>
      <c r="C108" s="34"/>
      <c r="D108" s="34"/>
      <c r="E108" s="34"/>
      <c r="F108" s="34"/>
      <c r="G108" s="34"/>
      <c r="H108" s="34"/>
    </row>
    <row r="109" spans="1:8" x14ac:dyDescent="0.3">
      <c r="A109" t="s">
        <v>234</v>
      </c>
    </row>
    <row r="110" spans="1:8" x14ac:dyDescent="0.3">
      <c r="A110" t="s">
        <v>235</v>
      </c>
    </row>
    <row r="112" spans="1:8" x14ac:dyDescent="0.3">
      <c r="A112" t="s">
        <v>236</v>
      </c>
    </row>
  </sheetData>
  <mergeCells count="14">
    <mergeCell ref="A97:H97"/>
    <mergeCell ref="A108:H108"/>
    <mergeCell ref="A61:H61"/>
    <mergeCell ref="A74:H74"/>
    <mergeCell ref="A75:H75"/>
    <mergeCell ref="A76:H76"/>
    <mergeCell ref="A84:H84"/>
    <mergeCell ref="A86:H86"/>
    <mergeCell ref="A48:H48"/>
    <mergeCell ref="A1:H1"/>
    <mergeCell ref="A3:D3"/>
    <mergeCell ref="A9:H9"/>
    <mergeCell ref="A22:H22"/>
    <mergeCell ref="A35:H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Datos Generales</vt:lpstr>
      <vt:lpstr>Tensión DC</vt:lpstr>
      <vt:lpstr>Tensión AC</vt:lpstr>
      <vt:lpstr>Corriente DC</vt:lpstr>
      <vt:lpstr>Corriente AC</vt:lpstr>
      <vt:lpstr>Resistencia</vt:lpstr>
      <vt:lpstr>Capacitancia</vt:lpstr>
      <vt:lpstr>Frecuencia</vt:lpstr>
      <vt:lpstr>Welch-Satterthwaite</vt:lpstr>
      <vt:lpstr>Resumen Certificado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David Moya Serrano</dc:creator>
  <cp:keywords/>
  <dc:description/>
  <cp:lastModifiedBy>BRYAN SUAZO FONSECA</cp:lastModifiedBy>
  <cp:revision/>
  <dcterms:created xsi:type="dcterms:W3CDTF">2026-05-10T00:41:52Z</dcterms:created>
  <dcterms:modified xsi:type="dcterms:W3CDTF">2026-06-01T16:10:03Z</dcterms:modified>
  <cp:category/>
  <cp:contentStatus/>
</cp:coreProperties>
</file>