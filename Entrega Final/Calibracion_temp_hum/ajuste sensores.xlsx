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femontero_estudiantec_cr/Documents/I Semestre 2026/CALA/"/>
    </mc:Choice>
  </mc:AlternateContent>
  <xr:revisionPtr revIDLastSave="161" documentId="8_{DADC2AE9-EB9A-4294-AAEA-8E6D9437143A}" xr6:coauthVersionLast="47" xr6:coauthVersionMax="47" xr10:uidLastSave="{E4C3DFEC-9545-44D3-98FE-7D5D43810827}"/>
  <bookViews>
    <workbookView xWindow="-108" yWindow="-108" windowWidth="23256" windowHeight="12456" xr2:uid="{C81A0685-275A-40E7-97DD-6BFFB6A748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" i="1" l="1"/>
  <c r="P4" i="1"/>
  <c r="P5" i="1"/>
  <c r="P6" i="1"/>
  <c r="P7" i="1"/>
  <c r="P8" i="1"/>
  <c r="P9" i="1"/>
  <c r="P3" i="1"/>
  <c r="K4" i="1"/>
  <c r="K5" i="1"/>
  <c r="K6" i="1"/>
  <c r="K7" i="1"/>
  <c r="K8" i="1"/>
  <c r="K9" i="1"/>
  <c r="K10" i="1"/>
  <c r="K3" i="1"/>
  <c r="F4" i="1"/>
  <c r="F5" i="1"/>
  <c r="F6" i="1"/>
  <c r="F7" i="1"/>
  <c r="F8" i="1"/>
  <c r="F9" i="1"/>
  <c r="F10" i="1"/>
  <c r="F3" i="1"/>
</calcChain>
</file>

<file path=xl/sharedStrings.xml><?xml version="1.0" encoding="utf-8"?>
<sst xmlns="http://schemas.openxmlformats.org/spreadsheetml/2006/main" count="71" uniqueCount="25">
  <si>
    <t>SHT-3T01</t>
  </si>
  <si>
    <t>SHT-3T02</t>
  </si>
  <si>
    <t>BME-T01</t>
  </si>
  <si>
    <t>BME-H01</t>
  </si>
  <si>
    <t>SHT-H01</t>
  </si>
  <si>
    <t>Patrón HUM</t>
  </si>
  <si>
    <t>Medicion 1</t>
  </si>
  <si>
    <t>Promedio</t>
  </si>
  <si>
    <t>Medicion 2</t>
  </si>
  <si>
    <t>Patron Globo</t>
  </si>
  <si>
    <t>Patron BS</t>
  </si>
  <si>
    <t>Puntos</t>
  </si>
  <si>
    <t>Punto 1(A)</t>
  </si>
  <si>
    <t>Punto 2   (B)</t>
  </si>
  <si>
    <t>Punto 3 ©</t>
  </si>
  <si>
    <t>A</t>
  </si>
  <si>
    <t>B</t>
  </si>
  <si>
    <t>C</t>
  </si>
  <si>
    <t xml:space="preserve">Patrón  </t>
  </si>
  <si>
    <t>Calibrando</t>
  </si>
  <si>
    <t>Globo</t>
  </si>
  <si>
    <t>Bulbo seco SHT</t>
  </si>
  <si>
    <t>Bulbo seco  BME</t>
  </si>
  <si>
    <t>Humedad  SHT</t>
  </si>
  <si>
    <t xml:space="preserve">Humedad BME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</si>
</sst>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Hoja1!$F$15</c:f>
              <c:strCache>
                <c:ptCount val="1"/>
                <c:pt idx="0">
                  <c:v>Calibrando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470371918199805"/>
                  <c:y val="0.243408470872114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Hoja1!$E$16:$E$18</c:f>
              <c:numCache>
                <c:formatCode>General</c:formatCode>
                <c:ptCount val="3"/>
                <c:pt idx="0">
                  <c:v>24.75</c:v>
                </c:pt>
                <c:pt idx="1">
                  <c:v>36.049999999999997</c:v>
                </c:pt>
                <c:pt idx="2">
                  <c:v>36.299999999999997</c:v>
                </c:pt>
              </c:numCache>
            </c:numRef>
          </c:xVal>
          <c:yVal>
            <c:numRef>
              <c:f>Hoja1!$F$16:$F$18</c:f>
              <c:numCache>
                <c:formatCode>General</c:formatCode>
                <c:ptCount val="3"/>
                <c:pt idx="0">
                  <c:v>24.06</c:v>
                </c:pt>
                <c:pt idx="1">
                  <c:v>35</c:v>
                </c:pt>
                <c:pt idx="2">
                  <c:v>36.885000000000005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A6-46D1-9B4F-496059B988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15921648"/>
        <c:axId val="1813356736"/>
      </c:scatterChart>
      <c:valAx>
        <c:axId val="1915921648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Patrón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813356736"/>
        <c:crosses val="autoZero"/>
        <c:crossBetween val="midCat"/>
      </c:valAx>
      <c:valAx>
        <c:axId val="181335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Calibrando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91592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</a:t>
            </a:r>
            <a:r>
              <a:rPr lang="en-US" baseline="0"/>
              <a:t> SHT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29589598641969"/>
          <c:y val="0.14831723673433755"/>
          <c:w val="0.83925782234462087"/>
          <c:h val="0.682095980908588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Hoja1!$J$15</c:f>
              <c:strCache>
                <c:ptCount val="1"/>
                <c:pt idx="0">
                  <c:v>Calibrando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538279828459772"/>
                  <c:y val="-2.37436961339059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Hoja1!$I$16:$I$18</c:f>
              <c:numCache>
                <c:formatCode>General</c:formatCode>
                <c:ptCount val="3"/>
                <c:pt idx="0">
                  <c:v>24.299999999999997</c:v>
                </c:pt>
                <c:pt idx="1">
                  <c:v>26.2</c:v>
                </c:pt>
                <c:pt idx="2">
                  <c:v>26.15</c:v>
                </c:pt>
              </c:numCache>
            </c:numRef>
          </c:xVal>
          <c:yVal>
            <c:numRef>
              <c:f>Hoja1!$J$16:$J$18</c:f>
              <c:numCache>
                <c:formatCode>General</c:formatCode>
                <c:ptCount val="3"/>
                <c:pt idx="0">
                  <c:v>25.009999999999998</c:v>
                </c:pt>
                <c:pt idx="1">
                  <c:v>29.36</c:v>
                </c:pt>
                <c:pt idx="2">
                  <c:v>29.725000000000001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BC-465C-A661-4AE4D6AF19A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45036928"/>
        <c:axId val="1945035968"/>
      </c:scatterChart>
      <c:valAx>
        <c:axId val="194503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945035968"/>
        <c:crosses val="autoZero"/>
        <c:crossBetween val="midCat"/>
      </c:valAx>
      <c:valAx>
        <c:axId val="194503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94503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</a:t>
            </a:r>
            <a:r>
              <a:rPr lang="en-US" baseline="0"/>
              <a:t> BME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Hoja1!$N$15</c:f>
              <c:strCache>
                <c:ptCount val="1"/>
                <c:pt idx="0">
                  <c:v>Calibrando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Hoja1!$M$16:$M$18</c:f>
              <c:numCache>
                <c:formatCode>General</c:formatCode>
                <c:ptCount val="3"/>
                <c:pt idx="0">
                  <c:v>24.299999999999997</c:v>
                </c:pt>
                <c:pt idx="1">
                  <c:v>26.2</c:v>
                </c:pt>
                <c:pt idx="2">
                  <c:v>26.15</c:v>
                </c:pt>
              </c:numCache>
            </c:numRef>
          </c:xVal>
          <c:yVal>
            <c:numRef>
              <c:f>Hoja1!$N$16:$N$18</c:f>
              <c:numCache>
                <c:formatCode>General</c:formatCode>
                <c:ptCount val="3"/>
                <c:pt idx="0">
                  <c:v>25.185000000000002</c:v>
                </c:pt>
                <c:pt idx="1">
                  <c:v>28.755000000000003</c:v>
                </c:pt>
                <c:pt idx="2">
                  <c:v>29.965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FB-4ACD-8295-79C4AB794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606272"/>
        <c:axId val="1722606752"/>
      </c:scatterChart>
      <c:valAx>
        <c:axId val="172260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722606752"/>
        <c:crosses val="autoZero"/>
        <c:crossBetween val="midCat"/>
      </c:valAx>
      <c:valAx>
        <c:axId val="172260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72260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Humedad</a:t>
            </a:r>
            <a:r>
              <a:rPr lang="en-US" baseline="0"/>
              <a:t> </a:t>
            </a:r>
            <a:r>
              <a:rPr lang="en-US" u="sng" baseline="0"/>
              <a:t>SHT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Hoja1!$R$15</c:f>
              <c:strCache>
                <c:ptCount val="1"/>
                <c:pt idx="0">
                  <c:v>Calibrando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924307087671805E-2"/>
                  <c:y val="0.254016392160237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Hoja1!$Q$16:$Q$18</c:f>
              <c:numCache>
                <c:formatCode>General</c:formatCode>
                <c:ptCount val="3"/>
                <c:pt idx="0">
                  <c:v>69.349999999999994</c:v>
                </c:pt>
                <c:pt idx="1">
                  <c:v>61.349999999999994</c:v>
                </c:pt>
                <c:pt idx="2">
                  <c:v>60.75</c:v>
                </c:pt>
              </c:numCache>
            </c:numRef>
          </c:xVal>
          <c:yVal>
            <c:numRef>
              <c:f>Hoja1!$R$16:$R$18</c:f>
              <c:numCache>
                <c:formatCode>General</c:formatCode>
                <c:ptCount val="3"/>
                <c:pt idx="0">
                  <c:v>70.040000000000006</c:v>
                </c:pt>
                <c:pt idx="1">
                  <c:v>55.760000000000005</c:v>
                </c:pt>
                <c:pt idx="2">
                  <c:v>54.844999999999999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50-4BDB-B481-B43FCD18A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321600"/>
        <c:axId val="2032322560"/>
      </c:scatterChart>
      <c:valAx>
        <c:axId val="203232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32322560"/>
        <c:crosses val="autoZero"/>
        <c:crossBetween val="midCat"/>
      </c:valAx>
      <c:valAx>
        <c:axId val="203232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3232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Humedad</a:t>
            </a:r>
            <a:r>
              <a:rPr lang="en-US" baseline="0"/>
              <a:t> BME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Hoja1!$V$15</c:f>
              <c:strCache>
                <c:ptCount val="1"/>
                <c:pt idx="0">
                  <c:v>Calibrando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161764627307635E-2"/>
                  <c:y val="0.202096581796711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Hoja1!$U$16:$U$18</c:f>
              <c:numCache>
                <c:formatCode>General</c:formatCode>
                <c:ptCount val="3"/>
                <c:pt idx="0">
                  <c:v>69.349999999999994</c:v>
                </c:pt>
                <c:pt idx="1">
                  <c:v>61.349999999999994</c:v>
                </c:pt>
                <c:pt idx="2">
                  <c:v>60.75</c:v>
                </c:pt>
              </c:numCache>
            </c:numRef>
          </c:xVal>
          <c:yVal>
            <c:numRef>
              <c:f>Hoja1!$V$16:$V$18</c:f>
              <c:numCache>
                <c:formatCode>General</c:formatCode>
                <c:ptCount val="3"/>
                <c:pt idx="0">
                  <c:v>61.365000000000002</c:v>
                </c:pt>
                <c:pt idx="1">
                  <c:v>49.03</c:v>
                </c:pt>
                <c:pt idx="2">
                  <c:v>45.36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09-45EC-B577-E7F0BD1E9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390832"/>
        <c:axId val="2028389392"/>
      </c:scatterChart>
      <c:valAx>
        <c:axId val="202839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28389392"/>
        <c:crosses val="autoZero"/>
        <c:crossBetween val="midCat"/>
      </c:valAx>
      <c:valAx>
        <c:axId val="202838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2839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290680</xdr:colOff>
      <xdr:row>18</xdr:row>
      <xdr:rowOff>137591</xdr:rowOff>
    </xdr:from>
    <xdr:to>
      <xdr:col>6</xdr:col>
      <xdr:colOff>248653</xdr:colOff>
      <xdr:row>31</xdr:row>
      <xdr:rowOff>144378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6830A7-B213-E6BC-1B0F-81E43F9B4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503582</xdr:colOff>
      <xdr:row>18</xdr:row>
      <xdr:rowOff>132521</xdr:rowOff>
    </xdr:from>
    <xdr:to>
      <xdr:col>10</xdr:col>
      <xdr:colOff>152401</xdr:colOff>
      <xdr:row>30</xdr:row>
      <xdr:rowOff>48127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269DB29-3BBF-7237-18A0-4F8E7971F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697832</xdr:colOff>
      <xdr:row>18</xdr:row>
      <xdr:rowOff>160420</xdr:rowOff>
    </xdr:from>
    <xdr:to>
      <xdr:col>14</xdr:col>
      <xdr:colOff>184484</xdr:colOff>
      <xdr:row>29</xdr:row>
      <xdr:rowOff>136357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FF405A7-F7BD-B7F6-0C6D-6BCA59147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721895</xdr:colOff>
      <xdr:row>19</xdr:row>
      <xdr:rowOff>0</xdr:rowOff>
    </xdr:from>
    <xdr:to>
      <xdr:col>18</xdr:col>
      <xdr:colOff>240632</xdr:colOff>
      <xdr:row>30</xdr:row>
      <xdr:rowOff>16042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0A12D11-98A9-31DC-B522-47916CFD6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673767</xdr:colOff>
      <xdr:row>19</xdr:row>
      <xdr:rowOff>16041</xdr:rowOff>
    </xdr:from>
    <xdr:to>
      <xdr:col>22</xdr:col>
      <xdr:colOff>304799</xdr:colOff>
      <xdr:row>29</xdr:row>
      <xdr:rowOff>176463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004B181-8729-2F67-68DE-14FE83785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069B-ED5B-4FDE-8D42-822A0E570930}">
  <dimension ref="C1:V18"/>
  <sheetViews>
    <sheetView tabSelected="1" topLeftCell="H18" zoomScale="224" workbookViewId="0">
      <selection activeCell="G14" sqref="G14"/>
    </sheetView>
  </sheetViews>
  <sheetFormatPr baseColWidth="10" defaultRowHeight="14.4" x14ac:dyDescent="0.3"/>
  <sheetData>
    <row r="1" spans="3:22" x14ac:dyDescent="0.3">
      <c r="D1" s="3" t="s">
        <v>12</v>
      </c>
      <c r="E1" s="3"/>
      <c r="F1" s="3"/>
      <c r="I1" s="3" t="s">
        <v>13</v>
      </c>
      <c r="J1" s="3"/>
      <c r="K1" s="3"/>
      <c r="N1" s="3" t="s">
        <v>14</v>
      </c>
      <c r="O1" s="3"/>
      <c r="P1" s="3"/>
    </row>
    <row r="2" spans="3:22" x14ac:dyDescent="0.3">
      <c r="D2" t="s">
        <v>6</v>
      </c>
      <c r="E2" t="s">
        <v>8</v>
      </c>
      <c r="F2" t="s">
        <v>7</v>
      </c>
      <c r="I2" t="s">
        <v>6</v>
      </c>
      <c r="J2" t="s">
        <v>8</v>
      </c>
      <c r="K2" t="s">
        <v>7</v>
      </c>
      <c r="N2" t="s">
        <v>6</v>
      </c>
      <c r="O2" t="s">
        <v>8</v>
      </c>
      <c r="P2" t="s">
        <v>7</v>
      </c>
    </row>
    <row r="3" spans="3:22" x14ac:dyDescent="0.3">
      <c r="C3" t="s">
        <v>9</v>
      </c>
      <c r="D3">
        <v>24.7</v>
      </c>
      <c r="E3">
        <v>24.8</v>
      </c>
      <c r="F3">
        <f>AVERAGE(D3:E3)</f>
        <v>24.75</v>
      </c>
      <c r="H3" t="s">
        <v>9</v>
      </c>
      <c r="I3">
        <v>35.700000000000003</v>
      </c>
      <c r="J3">
        <v>36.4</v>
      </c>
      <c r="K3">
        <f>AVERAGE(I3:J3)</f>
        <v>36.049999999999997</v>
      </c>
      <c r="M3" t="s">
        <v>9</v>
      </c>
      <c r="N3">
        <v>37</v>
      </c>
      <c r="O3">
        <v>35.6</v>
      </c>
      <c r="P3">
        <f>AVERAGE(N3:O3)</f>
        <v>36.299999999999997</v>
      </c>
    </row>
    <row r="4" spans="3:22" x14ac:dyDescent="0.3">
      <c r="C4" t="s">
        <v>10</v>
      </c>
      <c r="D4">
        <v>24.2</v>
      </c>
      <c r="E4">
        <v>24.4</v>
      </c>
      <c r="F4">
        <f t="shared" ref="F4:F10" si="0">AVERAGE(D4:E4)</f>
        <v>24.299999999999997</v>
      </c>
      <c r="H4" t="s">
        <v>10</v>
      </c>
      <c r="I4">
        <v>26.2</v>
      </c>
      <c r="J4">
        <v>26.2</v>
      </c>
      <c r="K4">
        <f t="shared" ref="K4:K10" si="1">AVERAGE(I4:J4)</f>
        <v>26.2</v>
      </c>
      <c r="M4" t="s">
        <v>10</v>
      </c>
      <c r="N4">
        <v>26.2</v>
      </c>
      <c r="O4">
        <v>26.1</v>
      </c>
      <c r="P4">
        <f t="shared" ref="P4:P9" si="2">AVERAGE(N4:O4)</f>
        <v>26.15</v>
      </c>
    </row>
    <row r="5" spans="3:22" x14ac:dyDescent="0.3">
      <c r="C5" t="s">
        <v>5</v>
      </c>
      <c r="D5">
        <v>69.400000000000006</v>
      </c>
      <c r="E5">
        <v>69.3</v>
      </c>
      <c r="F5">
        <f t="shared" si="0"/>
        <v>69.349999999999994</v>
      </c>
      <c r="H5" t="s">
        <v>5</v>
      </c>
      <c r="I5">
        <v>61.4</v>
      </c>
      <c r="J5">
        <v>61.3</v>
      </c>
      <c r="K5">
        <f t="shared" si="1"/>
        <v>61.349999999999994</v>
      </c>
      <c r="M5" t="s">
        <v>5</v>
      </c>
      <c r="N5">
        <v>61.3</v>
      </c>
      <c r="O5">
        <v>60.2</v>
      </c>
      <c r="P5">
        <f t="shared" si="2"/>
        <v>60.75</v>
      </c>
    </row>
    <row r="6" spans="3:22" x14ac:dyDescent="0.3">
      <c r="C6" t="s">
        <v>0</v>
      </c>
      <c r="D6">
        <v>24.06</v>
      </c>
      <c r="E6">
        <v>24.06</v>
      </c>
      <c r="F6">
        <f t="shared" si="0"/>
        <v>24.06</v>
      </c>
      <c r="H6" t="s">
        <v>0</v>
      </c>
      <c r="I6">
        <v>34.369999999999997</v>
      </c>
      <c r="J6">
        <v>35.630000000000003</v>
      </c>
      <c r="K6">
        <f t="shared" si="1"/>
        <v>35</v>
      </c>
      <c r="M6" t="s">
        <v>0</v>
      </c>
      <c r="N6">
        <v>37.35</v>
      </c>
      <c r="O6">
        <v>36.42</v>
      </c>
      <c r="P6">
        <f t="shared" si="2"/>
        <v>36.885000000000005</v>
      </c>
    </row>
    <row r="7" spans="3:22" x14ac:dyDescent="0.3">
      <c r="C7" t="s">
        <v>1</v>
      </c>
      <c r="D7">
        <v>25.12</v>
      </c>
      <c r="E7">
        <v>24.9</v>
      </c>
      <c r="F7">
        <f t="shared" si="0"/>
        <v>25.009999999999998</v>
      </c>
      <c r="H7" t="s">
        <v>1</v>
      </c>
      <c r="I7">
        <v>29.29</v>
      </c>
      <c r="J7">
        <v>29.43</v>
      </c>
      <c r="K7">
        <f t="shared" si="1"/>
        <v>29.36</v>
      </c>
      <c r="M7" t="s">
        <v>1</v>
      </c>
      <c r="N7">
        <v>29.89</v>
      </c>
      <c r="O7">
        <v>29.56</v>
      </c>
      <c r="P7">
        <f t="shared" si="2"/>
        <v>29.725000000000001</v>
      </c>
    </row>
    <row r="8" spans="3:22" x14ac:dyDescent="0.3">
      <c r="C8" t="s">
        <v>2</v>
      </c>
      <c r="D8">
        <v>25.3</v>
      </c>
      <c r="E8">
        <v>25.07</v>
      </c>
      <c r="F8">
        <f t="shared" si="0"/>
        <v>25.185000000000002</v>
      </c>
      <c r="H8" t="s">
        <v>2</v>
      </c>
      <c r="I8">
        <v>28.5</v>
      </c>
      <c r="J8">
        <v>29.01</v>
      </c>
      <c r="K8">
        <f t="shared" si="1"/>
        <v>28.755000000000003</v>
      </c>
      <c r="M8" t="s">
        <v>2</v>
      </c>
      <c r="N8">
        <v>30.09</v>
      </c>
      <c r="O8">
        <v>29.84</v>
      </c>
      <c r="P8">
        <f t="shared" si="2"/>
        <v>29.965</v>
      </c>
    </row>
    <row r="9" spans="3:22" x14ac:dyDescent="0.3">
      <c r="C9" t="s">
        <v>4</v>
      </c>
      <c r="D9">
        <v>69.650000000000006</v>
      </c>
      <c r="E9">
        <v>70.430000000000007</v>
      </c>
      <c r="F9">
        <f t="shared" si="0"/>
        <v>70.040000000000006</v>
      </c>
      <c r="H9" t="s">
        <v>4</v>
      </c>
      <c r="I9">
        <v>56.18</v>
      </c>
      <c r="J9">
        <v>55.34</v>
      </c>
      <c r="K9">
        <f t="shared" si="1"/>
        <v>55.760000000000005</v>
      </c>
      <c r="M9" t="s">
        <v>4</v>
      </c>
      <c r="N9">
        <v>54.96</v>
      </c>
      <c r="O9">
        <v>54.73</v>
      </c>
      <c r="P9">
        <f t="shared" si="2"/>
        <v>54.844999999999999</v>
      </c>
    </row>
    <row r="10" spans="3:22" x14ac:dyDescent="0.3">
      <c r="C10" t="s">
        <v>3</v>
      </c>
      <c r="D10">
        <v>61.09</v>
      </c>
      <c r="E10">
        <v>61.64</v>
      </c>
      <c r="F10">
        <f t="shared" si="0"/>
        <v>61.365000000000002</v>
      </c>
      <c r="H10" t="s">
        <v>3</v>
      </c>
      <c r="I10">
        <v>49.73</v>
      </c>
      <c r="J10">
        <v>48.33</v>
      </c>
      <c r="K10">
        <f t="shared" si="1"/>
        <v>49.03</v>
      </c>
      <c r="M10" t="s">
        <v>3</v>
      </c>
      <c r="N10">
        <v>45.02</v>
      </c>
      <c r="O10">
        <v>45.7</v>
      </c>
      <c r="P10">
        <f>AVERAGE(N10:O10)</f>
        <v>45.36</v>
      </c>
    </row>
    <row r="14" spans="3:22" x14ac:dyDescent="0.3">
      <c r="D14" s="2" t="s">
        <v>20</v>
      </c>
      <c r="E14" s="2"/>
      <c r="F14" s="2"/>
      <c r="H14" s="2" t="s">
        <v>21</v>
      </c>
      <c r="I14" s="2"/>
      <c r="J14" s="2"/>
      <c r="L14" s="2" t="s">
        <v>22</v>
      </c>
      <c r="M14" s="2"/>
      <c r="N14" s="2"/>
      <c r="P14" s="2" t="s">
        <v>23</v>
      </c>
      <c r="Q14" s="2"/>
      <c r="R14" s="2"/>
      <c r="T14" s="2" t="s">
        <v>24</v>
      </c>
      <c r="U14" s="2"/>
      <c r="V14" s="2"/>
    </row>
    <row r="15" spans="3:22" x14ac:dyDescent="0.3">
      <c r="D15" s="1" t="s">
        <v>11</v>
      </c>
      <c r="E15" s="1" t="s">
        <v>18</v>
      </c>
      <c r="F15" s="1" t="s">
        <v>19</v>
      </c>
      <c r="H15" s="1" t="s">
        <v>11</v>
      </c>
      <c r="I15" s="1" t="s">
        <v>18</v>
      </c>
      <c r="J15" s="1" t="s">
        <v>19</v>
      </c>
      <c r="L15" s="1" t="s">
        <v>11</v>
      </c>
      <c r="M15" s="1" t="s">
        <v>18</v>
      </c>
      <c r="N15" s="1" t="s">
        <v>19</v>
      </c>
      <c r="P15" s="1" t="s">
        <v>11</v>
      </c>
      <c r="Q15" s="1" t="s">
        <v>18</v>
      </c>
      <c r="R15" s="1" t="s">
        <v>19</v>
      </c>
      <c r="T15" s="1" t="s">
        <v>11</v>
      </c>
      <c r="U15" s="1" t="s">
        <v>18</v>
      </c>
      <c r="V15" s="1" t="s">
        <v>19</v>
      </c>
    </row>
    <row r="16" spans="3:22" x14ac:dyDescent="0.3">
      <c r="D16" s="1" t="s">
        <v>15</v>
      </c>
      <c r="E16" s="1">
        <v>24.75</v>
      </c>
      <c r="F16" s="1">
        <v>24.06</v>
      </c>
      <c r="H16" s="1" t="s">
        <v>15</v>
      </c>
      <c r="I16" s="1">
        <v>24.299999999999997</v>
      </c>
      <c r="J16" s="1">
        <v>25.009999999999998</v>
      </c>
      <c r="L16" s="1" t="s">
        <v>15</v>
      </c>
      <c r="M16" s="1">
        <v>24.299999999999997</v>
      </c>
      <c r="N16" s="1">
        <v>25.185000000000002</v>
      </c>
      <c r="P16" s="1" t="s">
        <v>15</v>
      </c>
      <c r="Q16" s="1">
        <v>69.349999999999994</v>
      </c>
      <c r="R16" s="1">
        <v>70.040000000000006</v>
      </c>
      <c r="T16" s="1" t="s">
        <v>15</v>
      </c>
      <c r="U16" s="1">
        <v>69.349999999999994</v>
      </c>
      <c r="V16" s="1">
        <v>61.365000000000002</v>
      </c>
    </row>
    <row r="17" spans="4:22" x14ac:dyDescent="0.3">
      <c r="D17" s="1" t="s">
        <v>16</v>
      </c>
      <c r="E17" s="1">
        <v>36.049999999999997</v>
      </c>
      <c r="F17" s="1">
        <v>35</v>
      </c>
      <c r="H17" s="1" t="s">
        <v>16</v>
      </c>
      <c r="I17" s="1">
        <v>26.2</v>
      </c>
      <c r="J17" s="1">
        <v>29.36</v>
      </c>
      <c r="L17" s="1" t="s">
        <v>16</v>
      </c>
      <c r="M17" s="1">
        <v>26.2</v>
      </c>
      <c r="N17" s="1">
        <v>28.755000000000003</v>
      </c>
      <c r="P17" s="1" t="s">
        <v>16</v>
      </c>
      <c r="Q17" s="1">
        <v>61.349999999999994</v>
      </c>
      <c r="R17" s="1">
        <v>55.760000000000005</v>
      </c>
      <c r="T17" s="1" t="s">
        <v>16</v>
      </c>
      <c r="U17" s="1">
        <v>61.349999999999994</v>
      </c>
      <c r="V17" s="1">
        <v>49.03</v>
      </c>
    </row>
    <row r="18" spans="4:22" x14ac:dyDescent="0.3">
      <c r="D18" s="1" t="s">
        <v>17</v>
      </c>
      <c r="E18" s="1">
        <v>36.299999999999997</v>
      </c>
      <c r="F18" s="1">
        <v>36.885000000000005</v>
      </c>
      <c r="H18" s="1" t="s">
        <v>17</v>
      </c>
      <c r="I18" s="1">
        <v>26.15</v>
      </c>
      <c r="J18" s="1">
        <v>29.725000000000001</v>
      </c>
      <c r="L18" s="1" t="s">
        <v>17</v>
      </c>
      <c r="M18" s="1">
        <v>26.15</v>
      </c>
      <c r="N18" s="1">
        <v>29.965</v>
      </c>
      <c r="P18" s="1" t="s">
        <v>17</v>
      </c>
      <c r="Q18" s="1">
        <v>60.75</v>
      </c>
      <c r="R18" s="1">
        <v>54.844999999999999</v>
      </c>
      <c r="T18" s="1" t="s">
        <v>17</v>
      </c>
      <c r="U18" s="1">
        <v>60.75</v>
      </c>
      <c r="V18" s="1">
        <v>45.36</v>
      </c>
    </row>
  </sheetData>
  <mergeCells count="8">
    <mergeCell ref="T14:V14"/>
    <mergeCell ref="D1:F1"/>
    <mergeCell ref="I1:K1"/>
    <mergeCell ref="N1:P1"/>
    <mergeCell ref="D14:F14"/>
    <mergeCell ref="H14:J14"/>
    <mergeCell ref="L14:N14"/>
    <mergeCell ref="P14:R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MONTERO CASTILLO</dc:creator>
  <cp:lastModifiedBy>FELIPE MONTERO CASTILLO</cp:lastModifiedBy>
  <dcterms:created xsi:type="dcterms:W3CDTF">2026-05-18T14:44:34Z</dcterms:created>
  <dcterms:modified xsi:type="dcterms:W3CDTF">2026-09-24T19:57:15Z</dcterms:modified>
</cp:coreProperties>
</file>