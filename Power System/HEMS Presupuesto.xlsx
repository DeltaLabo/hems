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suaz\OneDrive\Desktop\"/>
    </mc:Choice>
  </mc:AlternateContent>
  <xr:revisionPtr revIDLastSave="0" documentId="13_ncr:1_{8CDA977C-C3E9-4791-984F-EA256510F9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M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3" l="1"/>
  <c r="D44" i="3"/>
  <c r="A49" i="3"/>
  <c r="D43" i="3" s="1"/>
  <c r="D37" i="3"/>
  <c r="B35" i="3"/>
  <c r="D33" i="3"/>
  <c r="F33" i="3" s="1"/>
  <c r="D32" i="3"/>
  <c r="F32" i="3" s="1"/>
  <c r="D31" i="3"/>
  <c r="F31" i="3" s="1"/>
  <c r="D30" i="3"/>
  <c r="F30" i="3" s="1"/>
  <c r="D29" i="3"/>
  <c r="F29" i="3" s="1"/>
  <c r="E28" i="3"/>
  <c r="D28" i="3"/>
  <c r="B23" i="3"/>
  <c r="D21" i="3"/>
  <c r="F21" i="3" s="1"/>
  <c r="D20" i="3"/>
  <c r="F20" i="3" s="1"/>
  <c r="D19" i="3"/>
  <c r="D18" i="3"/>
  <c r="F18" i="3" s="1"/>
  <c r="D17" i="3"/>
  <c r="F17" i="3" s="1"/>
  <c r="D16" i="3"/>
  <c r="F16" i="3" s="1"/>
  <c r="B11" i="3" a="1"/>
  <c r="B11" i="3" s="1"/>
  <c r="D10" i="3"/>
  <c r="F10" i="3" s="1"/>
  <c r="D9" i="3"/>
  <c r="F9" i="3" s="1"/>
  <c r="D8" i="3"/>
  <c r="F8" i="3" s="1"/>
  <c r="D7" i="3"/>
  <c r="F7" i="3" s="1"/>
  <c r="D6" i="3"/>
  <c r="F6" i="3" s="1"/>
  <c r="D5" i="3"/>
  <c r="F5" i="3" s="1"/>
  <c r="D4" i="3"/>
  <c r="F4" i="3" s="1"/>
  <c r="F28" i="3" l="1"/>
  <c r="D23" i="3"/>
  <c r="F11" i="3"/>
  <c r="F35" i="3"/>
  <c r="F19" i="3"/>
  <c r="F23" i="3" s="1"/>
  <c r="D11" i="3"/>
  <c r="G43" i="3" l="1"/>
  <c r="H35" i="3"/>
  <c r="H52" i="3" l="1"/>
  <c r="A52" i="3"/>
  <c r="E52" i="3"/>
  <c r="E60" i="3" l="1"/>
  <c r="E63" i="3" s="1"/>
  <c r="E55" i="3"/>
  <c r="A55" i="3"/>
  <c r="A60" i="3"/>
  <c r="A63" i="3" s="1"/>
  <c r="H60" i="3"/>
  <c r="H63" i="3" s="1"/>
  <c r="H5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tc={8F71AA9D-5905-471A-BACD-4662564064DC}</author>
    <author>tc={310BC984-FC7D-45CC-9A43-E6A65BEBD210}</author>
    <author>tc={C6088061-90BB-4913-ADE9-C43BFAB53881}</author>
    <author>tc={2C527E4B-C853-4DB4-A27F-3D606712E6D2}</author>
  </authors>
  <commentList>
    <comment ref="F3" authorId="0" shapeId="0" xr:uid="{8F71AA9D-5905-471A-BACD-4662564064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Energia consumida real de cada sensor</t>
      </text>
    </comment>
    <comment ref="E27" authorId="1" shapeId="0" xr:uid="{310BC984-FC7D-45CC-9A43-E6A65BEBD21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Preguntar: Si el sistema enviara datos en la noche 
</t>
      </text>
    </comment>
    <comment ref="A49" authorId="2" shapeId="0" xr:uid="{C6088061-90BB-4913-ADE9-C43BFAB538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horas sol se sacan por medio de la irradiancia global [KWh/m2] entre su misma unidad, y el dato se saca del Solar Atlas</t>
      </text>
    </comment>
    <comment ref="A63" authorId="3" shapeId="0" xr:uid="{2C527E4B-C853-4DB4-A27F-3D606712E6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redondea a 2 Baterias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<sst xmlns="http://schemas.openxmlformats.org/spreadsheetml/2006/main" count="89" uniqueCount="48">
  <si>
    <t>Modo 1</t>
  </si>
  <si>
    <t>Medición continua (Normal)</t>
  </si>
  <si>
    <t>5 am - 7 pm</t>
  </si>
  <si>
    <t>Sensores, microcontrolador, SIM</t>
  </si>
  <si>
    <t>Corriente (A)</t>
  </si>
  <si>
    <t>Tensión (V)</t>
  </si>
  <si>
    <t>Potencia (W)</t>
  </si>
  <si>
    <t>Horas de operación</t>
  </si>
  <si>
    <t>Wh</t>
  </si>
  <si>
    <t>BME 280 (P-T-H)</t>
  </si>
  <si>
    <t>SHT3X-DIS (H-T)</t>
  </si>
  <si>
    <t>As7331 (UV)</t>
  </si>
  <si>
    <t>ESP32-S3 (Micro)</t>
  </si>
  <si>
    <t>Micro SD</t>
  </si>
  <si>
    <t>SIM7600G-H</t>
  </si>
  <si>
    <t>Modo 2</t>
  </si>
  <si>
    <t>Transmisión</t>
  </si>
  <si>
    <t>Sensores</t>
  </si>
  <si>
    <t>Modo 3</t>
  </si>
  <si>
    <t>Reposo</t>
  </si>
  <si>
    <t>Descanso</t>
  </si>
  <si>
    <t>7 pm- 5am</t>
  </si>
  <si>
    <t xml:space="preserve">Anemometro </t>
  </si>
  <si>
    <t>Energia Diaria ()</t>
  </si>
  <si>
    <t>Energia Diaria (Wh)</t>
  </si>
  <si>
    <t>Bateria</t>
  </si>
  <si>
    <t>Ah</t>
  </si>
  <si>
    <t>V</t>
  </si>
  <si>
    <t xml:space="preserve">Panel </t>
  </si>
  <si>
    <t>Panel</t>
  </si>
  <si>
    <t>10 W</t>
  </si>
  <si>
    <t xml:space="preserve"> Produccíon de energía</t>
  </si>
  <si>
    <t xml:space="preserve">Alimentacion </t>
  </si>
  <si>
    <t>potencia (W)</t>
  </si>
  <si>
    <t xml:space="preserve">Notas </t>
  </si>
  <si>
    <t>Mejor Caso</t>
  </si>
  <si>
    <t xml:space="preserve">Peor caso </t>
  </si>
  <si>
    <t>energia (Wh/día)</t>
  </si>
  <si>
    <t>Potencia total (Wh)</t>
  </si>
  <si>
    <t>Potencia Total Wh</t>
  </si>
  <si>
    <t>Producción horas sol (HSP)</t>
  </si>
  <si>
    <t>Energia del Panel (Wh)</t>
  </si>
  <si>
    <t>Potencia pico minima (W)</t>
  </si>
  <si>
    <t>Días de autonomia: 12 h</t>
  </si>
  <si>
    <t>Capacidad batería (Ah)</t>
  </si>
  <si>
    <t>Número de baterias a requerir</t>
  </si>
  <si>
    <t>Caso estándar</t>
  </si>
  <si>
    <t>Caso 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</si>
</sst>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1" fillId="0" borderId="2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2" fillId="0" borderId="0" xfId="0" applyFont="1"/>
    <xf numFmtId="0" fontId="0" fillId="2" borderId="0" xfId="0" applyFill="1"/>
    <xf numFmtId="0" fontId="0" fillId="4" borderId="1" xfId="0" applyFill="1" applyBorder="1"/>
    <xf numFmtId="0" fontId="0" fillId="2" borderId="4" xfId="0" applyFill="1" applyBorder="1"/>
    <xf numFmtId="0" fontId="0" fillId="2" borderId="0" xfId="0" applyFill="1" applyAlignment="1">
      <alignment horizontal="center"/>
    </xf>
    <xf numFmtId="0" fontId="0" fillId="0" borderId="11" xfId="0" applyBorder="1"/>
    <xf numFmtId="0" fontId="5" fillId="8" borderId="1" xfId="0" applyFont="1" applyFill="1" applyBorder="1"/>
    <xf numFmtId="0" fontId="5" fillId="8" borderId="9" xfId="0" applyFont="1" applyFill="1" applyBorder="1"/>
    <xf numFmtId="0" fontId="5" fillId="0" borderId="1" xfId="0" applyFont="1" applyBorder="1"/>
    <xf numFmtId="10" fontId="5" fillId="0" borderId="1" xfId="1" applyNumberFormat="1" applyFont="1" applyBorder="1" applyAlignment="1">
      <alignment horizontal="center" vertical="center" wrapText="1"/>
    </xf>
    <xf numFmtId="0" fontId="3" fillId="3" borderId="1" xfId="0" applyFont="1" applyFill="1" applyBorder="1"/>
    <xf numFmtId="0" fontId="0" fillId="0" borderId="10" xfId="0" applyBorder="1"/>
    <xf numFmtId="11" fontId="0" fillId="0" borderId="6" xfId="0" applyNumberFormat="1" applyBorder="1"/>
    <xf numFmtId="0" fontId="0" fillId="2" borderId="12" xfId="0" applyFill="1" applyBorder="1"/>
    <xf numFmtId="0" fontId="0" fillId="2" borderId="11" xfId="0" applyFill="1" applyBorder="1"/>
    <xf numFmtId="0" fontId="0" fillId="2" borderId="13" xfId="0" applyFill="1" applyBorder="1"/>
    <xf numFmtId="0" fontId="0" fillId="9" borderId="1" xfId="0" applyFill="1" applyBorder="1"/>
    <xf numFmtId="0" fontId="0" fillId="10" borderId="1" xfId="0" applyFill="1" applyBorder="1"/>
    <xf numFmtId="11" fontId="0" fillId="10" borderId="1" xfId="0" applyNumberFormat="1" applyFill="1" applyBorder="1"/>
    <xf numFmtId="11" fontId="0" fillId="10" borderId="10" xfId="0" applyNumberFormat="1" applyFill="1" applyBorder="1"/>
    <xf numFmtId="0" fontId="0" fillId="10" borderId="10" xfId="0" applyFill="1" applyBorder="1"/>
    <xf numFmtId="0" fontId="0" fillId="6" borderId="1" xfId="0" applyFill="1" applyBorder="1"/>
    <xf numFmtId="0" fontId="0" fillId="6" borderId="11" xfId="0" applyFill="1" applyBorder="1"/>
    <xf numFmtId="0" fontId="0" fillId="6" borderId="8" xfId="0" applyFill="1" applyBorder="1"/>
    <xf numFmtId="0" fontId="0" fillId="5" borderId="1" xfId="0" applyFill="1" applyBorder="1" applyAlignment="1">
      <alignment wrapText="1"/>
    </xf>
    <xf numFmtId="11" fontId="0" fillId="5" borderId="1" xfId="0" applyNumberFormat="1" applyFill="1" applyBorder="1"/>
    <xf numFmtId="11" fontId="0" fillId="5" borderId="9" xfId="0" applyNumberFormat="1" applyFill="1" applyBorder="1"/>
    <xf numFmtId="0" fontId="0" fillId="5" borderId="1" xfId="0" applyFill="1" applyBorder="1"/>
    <xf numFmtId="0" fontId="0" fillId="5" borderId="9" xfId="0" applyFill="1" applyBorder="1"/>
    <xf numFmtId="11" fontId="0" fillId="9" borderId="1" xfId="0" applyNumberFormat="1" applyFill="1" applyBorder="1"/>
    <xf numFmtId="164" fontId="0" fillId="0" borderId="1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10" fontId="5" fillId="0" borderId="11" xfId="1" applyNumberFormat="1" applyFont="1" applyBorder="1" applyAlignment="1">
      <alignment horizontal="center" vertical="center" wrapText="1"/>
    </xf>
    <xf numFmtId="10" fontId="5" fillId="0" borderId="12" xfId="1" applyNumberFormat="1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A239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YAN SUAZO FONSECA" id="{AE19CD9F-9D7E-411E-9290-66533E6F8BAD}" userId="S::bsuazo@estudiantec.cr::03276d1f-8daa-4aef-bb5e-f38eb95135b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6-03-09T05:58:03.07" personId="{AE19CD9F-9D7E-411E-9290-66533E6F8BAD}" id="{8F71AA9D-5905-471A-BACD-4662564064DC}">
    <text>Energia consumida real de cada sensor</text>
  </threadedComment>
  <threadedComment ref="E27" dT="2026-03-09T06:29:07.08" personId="{AE19CD9F-9D7E-411E-9290-66533E6F8BAD}" id="{310BC984-FC7D-45CC-9A43-E6A65BEBD210}">
    <text xml:space="preserve">Preguntar: Si el sistema enviara datos en la noche 
</text>
  </threadedComment>
  <threadedComment ref="A49" dT="2026-04-13T05:34:58.73" personId="{AE19CD9F-9D7E-411E-9290-66533E6F8BAD}" id="{C6088061-90BB-4913-ADE9-C43BFAB53881}">
    <text>Las horas sol se sacan por medio de la irradiancia global [KWh/m2] entre su misma unidad, y el dato se saca del Solar Atlas</text>
  </threadedComment>
  <threadedComment ref="A63" dT="2026-04-13T05:32:28.90" personId="{AE19CD9F-9D7E-411E-9290-66533E6F8BAD}" id="{2C527E4B-C853-4DB4-A27F-3D606712E6D2}">
    <text>Se redondea a 2 Baterias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6EE3-3751-4BE0-ACE5-0A1DFA7D956A}">
  <dimension ref="A1:I63"/>
  <sheetViews>
    <sheetView tabSelected="1" topLeftCell="A38" zoomScale="69" zoomScaleNormal="70" workbookViewId="0">
      <selection activeCell="N57" sqref="N57"/>
    </sheetView>
  </sheetViews>
  <sheetFormatPr baseColWidth="10" defaultRowHeight="14.4" x14ac:dyDescent="0.3"/>
  <cols>
    <col min="1" max="1" width="43.33203125" bestFit="1" customWidth="1"/>
    <col min="2" max="2" width="25.44140625" bestFit="1" customWidth="1"/>
    <col min="3" max="3" width="12.33203125" bestFit="1" customWidth="1"/>
    <col min="4" max="4" width="14.77734375" bestFit="1" customWidth="1"/>
    <col min="5" max="5" width="19.44140625" bestFit="1" customWidth="1"/>
    <col min="6" max="6" width="43.33203125" bestFit="1" customWidth="1"/>
    <col min="7" max="8" width="22.88671875" bestFit="1" customWidth="1"/>
    <col min="9" max="9" width="18.33203125" bestFit="1" customWidth="1"/>
    <col min="11" max="11" width="17.5546875" bestFit="1" customWidth="1"/>
  </cols>
  <sheetData>
    <row r="1" spans="1:8" x14ac:dyDescent="0.3">
      <c r="A1" s="3" t="s">
        <v>0</v>
      </c>
      <c r="B1" s="4" t="s">
        <v>1</v>
      </c>
      <c r="C1" s="4"/>
      <c r="D1" s="4"/>
      <c r="E1" s="4"/>
      <c r="F1" s="4"/>
      <c r="G1" s="4"/>
      <c r="H1" s="4"/>
    </row>
    <row r="2" spans="1:8" x14ac:dyDescent="0.3">
      <c r="A2" s="5"/>
      <c r="E2" s="2" t="s">
        <v>2</v>
      </c>
    </row>
    <row r="3" spans="1:8" x14ac:dyDescent="0.3">
      <c r="A3" s="6" t="s">
        <v>3</v>
      </c>
      <c r="B3" s="35" t="s">
        <v>4</v>
      </c>
      <c r="C3" s="32" t="s">
        <v>5</v>
      </c>
      <c r="D3" s="28" t="s">
        <v>6</v>
      </c>
      <c r="E3" s="13" t="s">
        <v>7</v>
      </c>
      <c r="F3" s="27" t="s">
        <v>24</v>
      </c>
      <c r="G3" s="25"/>
    </row>
    <row r="4" spans="1:8" x14ac:dyDescent="0.3">
      <c r="A4" s="5" t="s">
        <v>9</v>
      </c>
      <c r="B4" s="36">
        <v>3.5999999999999998E-6</v>
      </c>
      <c r="C4" s="32">
        <v>3.3</v>
      </c>
      <c r="D4" s="29">
        <f>C4*B4</f>
        <v>1.1879999999999998E-5</v>
      </c>
      <c r="E4" s="13">
        <v>14</v>
      </c>
      <c r="F4" s="40">
        <f t="shared" ref="F4:F10" si="0">E4*D4</f>
        <v>1.6631999999999997E-4</v>
      </c>
      <c r="G4" s="26"/>
    </row>
    <row r="5" spans="1:8" x14ac:dyDescent="0.3">
      <c r="A5" s="5" t="s">
        <v>10</v>
      </c>
      <c r="B5" s="36">
        <v>7.9999999999999996E-6</v>
      </c>
      <c r="C5" s="32">
        <v>3.3</v>
      </c>
      <c r="D5" s="29">
        <f>B5*C5</f>
        <v>2.6399999999999998E-5</v>
      </c>
      <c r="E5" s="13">
        <v>14</v>
      </c>
      <c r="F5" s="40">
        <f t="shared" si="0"/>
        <v>3.6959999999999998E-4</v>
      </c>
      <c r="G5" s="26"/>
    </row>
    <row r="6" spans="1:8" x14ac:dyDescent="0.3">
      <c r="A6" s="5" t="s">
        <v>11</v>
      </c>
      <c r="B6" s="36">
        <v>1.42E-3</v>
      </c>
      <c r="C6" s="32">
        <v>3.3</v>
      </c>
      <c r="D6" s="29">
        <f>C6*B6</f>
        <v>4.6860000000000001E-3</v>
      </c>
      <c r="E6" s="13">
        <v>14</v>
      </c>
      <c r="F6" s="40">
        <f t="shared" si="0"/>
        <v>6.5603999999999996E-2</v>
      </c>
      <c r="G6" s="26"/>
    </row>
    <row r="7" spans="1:8" x14ac:dyDescent="0.3">
      <c r="A7" s="5" t="s">
        <v>12</v>
      </c>
      <c r="B7" s="36">
        <v>6.6199999999999995E-2</v>
      </c>
      <c r="C7" s="32">
        <v>3.3</v>
      </c>
      <c r="D7" s="29">
        <f>B7*C7</f>
        <v>0.21845999999999996</v>
      </c>
      <c r="E7" s="13">
        <v>14</v>
      </c>
      <c r="F7" s="40">
        <f t="shared" si="0"/>
        <v>3.0584399999999996</v>
      </c>
      <c r="G7" s="26"/>
    </row>
    <row r="8" spans="1:8" x14ac:dyDescent="0.3">
      <c r="A8" s="5" t="s">
        <v>13</v>
      </c>
      <c r="B8" s="36">
        <v>0.1</v>
      </c>
      <c r="C8" s="33">
        <v>3.3</v>
      </c>
      <c r="D8" s="29">
        <f>B8*C8</f>
        <v>0.33</v>
      </c>
      <c r="E8" s="13">
        <v>14</v>
      </c>
      <c r="F8" s="40">
        <f t="shared" si="0"/>
        <v>4.62</v>
      </c>
      <c r="G8" s="26"/>
    </row>
    <row r="9" spans="1:8" x14ac:dyDescent="0.3">
      <c r="A9" s="5" t="s">
        <v>14</v>
      </c>
      <c r="B9" s="36">
        <v>2.0200000000000001E-3</v>
      </c>
      <c r="C9" s="34">
        <v>3.3</v>
      </c>
      <c r="D9" s="30">
        <f>C9*B9</f>
        <v>6.6660000000000001E-3</v>
      </c>
      <c r="E9" s="13">
        <v>14</v>
      </c>
      <c r="F9" s="40">
        <f t="shared" si="0"/>
        <v>9.3324000000000004E-2</v>
      </c>
      <c r="G9" s="26"/>
    </row>
    <row r="10" spans="1:8" x14ac:dyDescent="0.3">
      <c r="A10" s="5" t="s">
        <v>22</v>
      </c>
      <c r="B10" s="37">
        <v>0.1</v>
      </c>
      <c r="C10" s="34">
        <v>3.3</v>
      </c>
      <c r="D10" s="30">
        <f>B10*C10</f>
        <v>0.33</v>
      </c>
      <c r="E10" s="13">
        <v>14</v>
      </c>
      <c r="F10" s="40">
        <f t="shared" si="0"/>
        <v>4.62</v>
      </c>
      <c r="G10" s="24"/>
    </row>
    <row r="11" spans="1:8" x14ac:dyDescent="0.3">
      <c r="A11" s="7"/>
      <c r="B11" s="23" cm="1">
        <f t="array" ref="B11">SUM(B4:B7+B10)</f>
        <v>0.46763160000000004</v>
      </c>
      <c r="C11" s="8"/>
      <c r="D11" s="23">
        <f>SUM(D4:D10)</f>
        <v>0.88985027999999988</v>
      </c>
      <c r="E11" s="8"/>
      <c r="F11" s="8">
        <f>SUM(F4:F10)</f>
        <v>12.45790392</v>
      </c>
      <c r="G11" s="10" t="s">
        <v>8</v>
      </c>
    </row>
    <row r="12" spans="1:8" x14ac:dyDescent="0.3">
      <c r="G12" s="12"/>
    </row>
    <row r="13" spans="1:8" x14ac:dyDescent="0.3">
      <c r="A13" s="3" t="s">
        <v>15</v>
      </c>
      <c r="B13" s="4" t="s">
        <v>16</v>
      </c>
      <c r="C13" s="4"/>
      <c r="D13" s="4"/>
      <c r="E13" s="4"/>
      <c r="F13" s="4"/>
      <c r="G13" s="14"/>
    </row>
    <row r="14" spans="1:8" x14ac:dyDescent="0.3">
      <c r="A14" s="5"/>
      <c r="G14" s="15"/>
    </row>
    <row r="15" spans="1:8" x14ac:dyDescent="0.3">
      <c r="A15" s="6" t="s">
        <v>17</v>
      </c>
      <c r="B15" s="38" t="s">
        <v>4</v>
      </c>
      <c r="C15" s="32" t="s">
        <v>5</v>
      </c>
      <c r="D15" s="28" t="s">
        <v>6</v>
      </c>
      <c r="E15" s="13" t="s">
        <v>7</v>
      </c>
      <c r="F15" s="27" t="s">
        <v>24</v>
      </c>
      <c r="G15" s="25"/>
    </row>
    <row r="16" spans="1:8" x14ac:dyDescent="0.3">
      <c r="A16" s="5" t="s">
        <v>9</v>
      </c>
      <c r="B16" s="36">
        <v>1.6E-7</v>
      </c>
      <c r="C16" s="32">
        <v>3.3</v>
      </c>
      <c r="D16" s="29">
        <f t="shared" ref="D16:D21" si="1">C16*B16</f>
        <v>5.2799999999999996E-7</v>
      </c>
      <c r="E16" s="13">
        <v>0</v>
      </c>
      <c r="F16" s="27">
        <f t="shared" ref="F16:F21" si="2">E16*D16</f>
        <v>0</v>
      </c>
      <c r="G16" s="26"/>
    </row>
    <row r="17" spans="1:7" x14ac:dyDescent="0.3">
      <c r="A17" s="5" t="s">
        <v>10</v>
      </c>
      <c r="B17" s="36">
        <v>1.9999999999999999E-7</v>
      </c>
      <c r="C17" s="32">
        <v>3.3</v>
      </c>
      <c r="D17" s="29">
        <f t="shared" si="1"/>
        <v>6.5999999999999993E-7</v>
      </c>
      <c r="E17" s="13">
        <v>0</v>
      </c>
      <c r="F17" s="27">
        <f t="shared" si="2"/>
        <v>0</v>
      </c>
      <c r="G17" s="26"/>
    </row>
    <row r="18" spans="1:7" x14ac:dyDescent="0.3">
      <c r="A18" s="5" t="s">
        <v>11</v>
      </c>
      <c r="B18" s="36">
        <v>9.9999999999999995E-7</v>
      </c>
      <c r="C18" s="32">
        <v>3.3</v>
      </c>
      <c r="D18" s="29">
        <f t="shared" si="1"/>
        <v>3.2999999999999997E-6</v>
      </c>
      <c r="E18" s="13">
        <v>0</v>
      </c>
      <c r="F18" s="27">
        <f t="shared" si="2"/>
        <v>0</v>
      </c>
      <c r="G18" s="26"/>
    </row>
    <row r="19" spans="1:7" x14ac:dyDescent="0.3">
      <c r="A19" s="5" t="s">
        <v>12</v>
      </c>
      <c r="B19" s="36">
        <v>8.1299999999999997E-2</v>
      </c>
      <c r="C19" s="32">
        <v>3.3</v>
      </c>
      <c r="D19" s="29">
        <f t="shared" si="1"/>
        <v>0.26828999999999997</v>
      </c>
      <c r="E19" s="13">
        <v>0</v>
      </c>
      <c r="F19" s="27">
        <f t="shared" si="2"/>
        <v>0</v>
      </c>
      <c r="G19" s="26"/>
    </row>
    <row r="20" spans="1:7" x14ac:dyDescent="0.3">
      <c r="A20" s="5" t="s">
        <v>13</v>
      </c>
      <c r="B20" s="36">
        <v>0.2</v>
      </c>
      <c r="C20" s="32">
        <v>3.3</v>
      </c>
      <c r="D20" s="29">
        <f t="shared" si="1"/>
        <v>0.66</v>
      </c>
      <c r="E20" s="13">
        <v>0</v>
      </c>
      <c r="F20" s="27">
        <f t="shared" si="2"/>
        <v>0</v>
      </c>
      <c r="G20" s="26"/>
    </row>
    <row r="21" spans="1:7" x14ac:dyDescent="0.3">
      <c r="A21" s="11" t="s">
        <v>14</v>
      </c>
      <c r="B21" s="36">
        <v>0.80900000000000005</v>
      </c>
      <c r="C21" s="32">
        <v>3.3</v>
      </c>
      <c r="D21" s="29">
        <f t="shared" si="1"/>
        <v>2.6697000000000002</v>
      </c>
      <c r="E21" s="13">
        <v>1.5</v>
      </c>
      <c r="F21" s="27">
        <f t="shared" si="2"/>
        <v>4.0045500000000001</v>
      </c>
      <c r="G21" s="26"/>
    </row>
    <row r="22" spans="1:7" x14ac:dyDescent="0.3">
      <c r="A22" s="11"/>
      <c r="B22" s="38"/>
      <c r="C22" s="32"/>
      <c r="D22" s="28"/>
      <c r="E22" s="13"/>
      <c r="F22" s="27"/>
      <c r="G22" s="24"/>
    </row>
    <row r="23" spans="1:7" x14ac:dyDescent="0.3">
      <c r="A23" s="7"/>
      <c r="B23" s="8">
        <f>SUM(B20:B21)</f>
        <v>1.0090000000000001</v>
      </c>
      <c r="C23" s="8"/>
      <c r="D23" s="8">
        <f>SUM(D16:D21)</f>
        <v>3.5979944880000003</v>
      </c>
      <c r="E23" s="8"/>
      <c r="F23" s="9">
        <f>SUM(F19:F21)</f>
        <v>4.0045500000000001</v>
      </c>
      <c r="G23" s="10" t="s">
        <v>8</v>
      </c>
    </row>
    <row r="24" spans="1:7" x14ac:dyDescent="0.3">
      <c r="G24" s="12"/>
    </row>
    <row r="25" spans="1:7" x14ac:dyDescent="0.3">
      <c r="A25" s="3" t="s">
        <v>18</v>
      </c>
      <c r="B25" s="4" t="s">
        <v>19</v>
      </c>
      <c r="C25" s="4" t="s">
        <v>20</v>
      </c>
      <c r="D25" s="4"/>
      <c r="E25" s="4"/>
      <c r="F25" s="4"/>
      <c r="G25" s="14"/>
    </row>
    <row r="26" spans="1:7" x14ac:dyDescent="0.3">
      <c r="A26" s="5"/>
      <c r="E26" s="2" t="s">
        <v>21</v>
      </c>
      <c r="G26" s="12"/>
    </row>
    <row r="27" spans="1:7" x14ac:dyDescent="0.3">
      <c r="A27" s="6" t="s">
        <v>17</v>
      </c>
      <c r="B27" s="38" t="s">
        <v>4</v>
      </c>
      <c r="C27" s="32" t="s">
        <v>5</v>
      </c>
      <c r="D27" s="28" t="s">
        <v>6</v>
      </c>
      <c r="E27" s="13" t="s">
        <v>7</v>
      </c>
      <c r="F27" s="27" t="s">
        <v>23</v>
      </c>
      <c r="G27" s="25"/>
    </row>
    <row r="28" spans="1:7" x14ac:dyDescent="0.3">
      <c r="A28" s="5" t="s">
        <v>9</v>
      </c>
      <c r="B28" s="36">
        <v>1.6E-7</v>
      </c>
      <c r="C28" s="32">
        <v>3.3</v>
      </c>
      <c r="D28" s="29">
        <f>C28*B28</f>
        <v>5.2799999999999996E-7</v>
      </c>
      <c r="E28" s="13">
        <f>10</f>
        <v>10</v>
      </c>
      <c r="F28" s="40">
        <f t="shared" ref="F28:F33" si="3">E28*D28</f>
        <v>5.2799999999999994E-6</v>
      </c>
      <c r="G28" s="26"/>
    </row>
    <row r="29" spans="1:7" x14ac:dyDescent="0.3">
      <c r="A29" s="5" t="s">
        <v>10</v>
      </c>
      <c r="B29" s="36">
        <v>1.9999999999999999E-7</v>
      </c>
      <c r="C29" s="32">
        <v>3.3</v>
      </c>
      <c r="D29" s="29">
        <f>C29*B29</f>
        <v>6.5999999999999993E-7</v>
      </c>
      <c r="E29" s="13">
        <v>10</v>
      </c>
      <c r="F29" s="40">
        <f t="shared" si="3"/>
        <v>6.5999999999999995E-6</v>
      </c>
      <c r="G29" s="26"/>
    </row>
    <row r="30" spans="1:7" x14ac:dyDescent="0.3">
      <c r="A30" s="5" t="s">
        <v>11</v>
      </c>
      <c r="B30" s="36">
        <v>9.9999999999999995E-7</v>
      </c>
      <c r="C30" s="32">
        <v>3.3</v>
      </c>
      <c r="D30" s="29">
        <f>C30*B30</f>
        <v>3.2999999999999997E-6</v>
      </c>
      <c r="E30" s="13">
        <v>10</v>
      </c>
      <c r="F30" s="40">
        <f t="shared" si="3"/>
        <v>3.2999999999999996E-5</v>
      </c>
      <c r="G30" s="26"/>
    </row>
    <row r="31" spans="1:7" x14ac:dyDescent="0.3">
      <c r="A31" s="5" t="s">
        <v>12</v>
      </c>
      <c r="B31" s="36">
        <v>2.4000000000000001E-4</v>
      </c>
      <c r="C31" s="32">
        <v>3.3</v>
      </c>
      <c r="D31" s="29">
        <f>B31*C31</f>
        <v>7.9199999999999995E-4</v>
      </c>
      <c r="E31" s="13">
        <v>10</v>
      </c>
      <c r="F31" s="40">
        <f t="shared" si="3"/>
        <v>7.92E-3</v>
      </c>
      <c r="G31" s="26"/>
    </row>
    <row r="32" spans="1:7" x14ac:dyDescent="0.3">
      <c r="A32" s="5" t="s">
        <v>13</v>
      </c>
      <c r="B32" s="36">
        <v>1.4999999999999999E-2</v>
      </c>
      <c r="C32" s="32">
        <v>3.3</v>
      </c>
      <c r="D32" s="29">
        <f>B32*C32</f>
        <v>4.9499999999999995E-2</v>
      </c>
      <c r="E32" s="13">
        <v>10</v>
      </c>
      <c r="F32" s="40">
        <f t="shared" si="3"/>
        <v>0.49499999999999994</v>
      </c>
      <c r="G32" s="26"/>
    </row>
    <row r="33" spans="1:9" x14ac:dyDescent="0.3">
      <c r="A33" s="11" t="s">
        <v>14</v>
      </c>
      <c r="B33" s="36">
        <v>2.0200000000000001E-3</v>
      </c>
      <c r="C33" s="33">
        <v>3.3</v>
      </c>
      <c r="D33" s="29">
        <f>C33*B33</f>
        <v>6.6660000000000001E-3</v>
      </c>
      <c r="E33" s="13">
        <v>10</v>
      </c>
      <c r="F33" s="40">
        <f t="shared" si="3"/>
        <v>6.6659999999999997E-2</v>
      </c>
      <c r="G33" s="26"/>
    </row>
    <row r="34" spans="1:9" x14ac:dyDescent="0.3">
      <c r="B34" s="39"/>
      <c r="C34" s="34"/>
      <c r="D34" s="31"/>
      <c r="E34" s="13"/>
      <c r="F34" s="27"/>
      <c r="G34" s="24"/>
      <c r="H34" s="22" t="s">
        <v>39</v>
      </c>
    </row>
    <row r="35" spans="1:9" x14ac:dyDescent="0.3">
      <c r="A35" s="7"/>
      <c r="B35" s="23">
        <f>SUM(B28:B32)</f>
        <v>1.5241359999999999E-2</v>
      </c>
      <c r="C35" s="8"/>
      <c r="D35" s="8"/>
      <c r="E35" s="8"/>
      <c r="F35" s="23">
        <f>SUM($F$28:$F$33)</f>
        <v>0.56962487999999989</v>
      </c>
      <c r="G35" s="1" t="s">
        <v>8</v>
      </c>
      <c r="H35" s="1">
        <f>F11+F23+F35</f>
        <v>17.032078800000001</v>
      </c>
    </row>
    <row r="36" spans="1:9" x14ac:dyDescent="0.3">
      <c r="A36" s="1" t="s">
        <v>25</v>
      </c>
      <c r="B36" s="1" t="s">
        <v>26</v>
      </c>
      <c r="C36" s="1" t="s">
        <v>27</v>
      </c>
      <c r="D36" s="1" t="s">
        <v>8</v>
      </c>
    </row>
    <row r="37" spans="1:9" x14ac:dyDescent="0.3">
      <c r="B37" s="16">
        <v>3.4</v>
      </c>
      <c r="C37" s="16">
        <v>3.6</v>
      </c>
      <c r="D37" s="16">
        <f>B37*C37</f>
        <v>12.24</v>
      </c>
    </row>
    <row r="38" spans="1:9" x14ac:dyDescent="0.3">
      <c r="A38" s="1" t="s">
        <v>28</v>
      </c>
      <c r="B38" s="1" t="s">
        <v>30</v>
      </c>
      <c r="C38" s="1"/>
      <c r="D38" s="1"/>
    </row>
    <row r="39" spans="1:9" x14ac:dyDescent="0.3">
      <c r="A39" s="1"/>
      <c r="B39" s="1"/>
      <c r="C39" s="1"/>
      <c r="D39" s="1"/>
    </row>
    <row r="41" spans="1:9" x14ac:dyDescent="0.3">
      <c r="A41" s="45" t="s">
        <v>31</v>
      </c>
      <c r="B41" s="46"/>
      <c r="C41" s="46"/>
      <c r="D41" s="46"/>
      <c r="E41" s="46"/>
    </row>
    <row r="42" spans="1:9" x14ac:dyDescent="0.3">
      <c r="A42" s="1"/>
      <c r="B42" s="17" t="s">
        <v>32</v>
      </c>
      <c r="C42" s="17" t="s">
        <v>33</v>
      </c>
      <c r="D42" s="17" t="s">
        <v>37</v>
      </c>
      <c r="E42" s="18" t="s">
        <v>34</v>
      </c>
      <c r="G42" s="21" t="s">
        <v>38</v>
      </c>
    </row>
    <row r="43" spans="1:9" x14ac:dyDescent="0.3">
      <c r="A43" s="1" t="s">
        <v>35</v>
      </c>
      <c r="B43" s="19" t="s">
        <v>28</v>
      </c>
      <c r="C43" s="19">
        <v>10</v>
      </c>
      <c r="D43" s="41">
        <f>A49*0.7*10</f>
        <v>40.033000000000001</v>
      </c>
      <c r="E43" s="47"/>
      <c r="G43" s="21">
        <f>SUM(F11,F23,F35)</f>
        <v>17.032078800000001</v>
      </c>
    </row>
    <row r="44" spans="1:9" x14ac:dyDescent="0.3">
      <c r="A44" s="1" t="s">
        <v>46</v>
      </c>
      <c r="B44" s="19" t="s">
        <v>28</v>
      </c>
      <c r="C44" s="1">
        <v>10</v>
      </c>
      <c r="D44">
        <f>10*0.7*E49</f>
        <v>28.167999999999999</v>
      </c>
      <c r="E44" s="48"/>
    </row>
    <row r="45" spans="1:9" x14ac:dyDescent="0.3">
      <c r="A45" s="1" t="s">
        <v>36</v>
      </c>
      <c r="B45" s="1" t="s">
        <v>29</v>
      </c>
      <c r="C45" s="1">
        <v>10</v>
      </c>
      <c r="D45" s="1">
        <f>10*0.7*3</f>
        <v>21</v>
      </c>
      <c r="E45" s="20"/>
    </row>
    <row r="47" spans="1:9" x14ac:dyDescent="0.3">
      <c r="A47" s="42" t="s">
        <v>35</v>
      </c>
      <c r="B47" s="43"/>
      <c r="E47" s="44" t="s">
        <v>46</v>
      </c>
      <c r="F47" s="44"/>
      <c r="H47" s="44" t="s">
        <v>47</v>
      </c>
      <c r="I47" s="44"/>
    </row>
    <row r="48" spans="1:9" x14ac:dyDescent="0.3">
      <c r="A48" s="44" t="s">
        <v>40</v>
      </c>
      <c r="B48" s="44"/>
      <c r="E48" s="44" t="s">
        <v>40</v>
      </c>
      <c r="F48" s="44"/>
      <c r="H48" s="44" t="s">
        <v>40</v>
      </c>
      <c r="I48" s="44"/>
    </row>
    <row r="49" spans="1:9" x14ac:dyDescent="0.3">
      <c r="A49" s="42">
        <f>5.719/1</f>
        <v>5.7190000000000003</v>
      </c>
      <c r="B49" s="43"/>
      <c r="E49" s="42">
        <v>4.024</v>
      </c>
      <c r="F49" s="43"/>
      <c r="H49" s="42">
        <v>3</v>
      </c>
      <c r="I49" s="43"/>
    </row>
    <row r="51" spans="1:9" x14ac:dyDescent="0.3">
      <c r="A51" s="44" t="s">
        <v>41</v>
      </c>
      <c r="B51" s="44"/>
      <c r="E51" s="44" t="s">
        <v>41</v>
      </c>
      <c r="F51" s="44"/>
      <c r="H51" s="44" t="s">
        <v>41</v>
      </c>
      <c r="I51" s="44"/>
    </row>
    <row r="52" spans="1:9" x14ac:dyDescent="0.3">
      <c r="A52" s="44">
        <f>G43/0.7</f>
        <v>24.331541142857144</v>
      </c>
      <c r="B52" s="44"/>
      <c r="E52" s="44">
        <f>G43/0.7</f>
        <v>24.331541142857144</v>
      </c>
      <c r="F52" s="44"/>
      <c r="H52" s="44">
        <f>G43/0.7</f>
        <v>24.331541142857144</v>
      </c>
      <c r="I52" s="44"/>
    </row>
    <row r="54" spans="1:9" x14ac:dyDescent="0.3">
      <c r="A54" s="44" t="s">
        <v>42</v>
      </c>
      <c r="B54" s="44"/>
      <c r="E54" s="44" t="s">
        <v>42</v>
      </c>
      <c r="F54" s="44"/>
      <c r="H54" s="44" t="s">
        <v>42</v>
      </c>
      <c r="I54" s="44"/>
    </row>
    <row r="55" spans="1:9" x14ac:dyDescent="0.3">
      <c r="A55" s="44">
        <f>A52/A49</f>
        <v>4.2545097294731846</v>
      </c>
      <c r="B55" s="44"/>
      <c r="E55" s="44">
        <f>E52/E49</f>
        <v>6.046605651803465</v>
      </c>
      <c r="F55" s="44"/>
      <c r="H55" s="44">
        <f>H52/H49</f>
        <v>8.1105137142857142</v>
      </c>
      <c r="I55" s="44"/>
    </row>
    <row r="57" spans="1:9" x14ac:dyDescent="0.3">
      <c r="A57" s="1" t="s">
        <v>43</v>
      </c>
      <c r="E57" s="1" t="s">
        <v>43</v>
      </c>
      <c r="H57" s="1" t="s">
        <v>43</v>
      </c>
    </row>
    <row r="59" spans="1:9" x14ac:dyDescent="0.3">
      <c r="A59" s="44" t="s">
        <v>44</v>
      </c>
      <c r="B59" s="44"/>
      <c r="E59" s="44" t="s">
        <v>44</v>
      </c>
      <c r="F59" s="44"/>
      <c r="H59" s="44" t="s">
        <v>44</v>
      </c>
      <c r="I59" s="44"/>
    </row>
    <row r="60" spans="1:9" x14ac:dyDescent="0.3">
      <c r="A60" s="44">
        <f>(0.5*A52)/(0.8*3.6)</f>
        <v>4.2242258928571426</v>
      </c>
      <c r="B60" s="44"/>
      <c r="E60" s="44">
        <f>(0.5*E52)/(0.8*3.6)</f>
        <v>4.2242258928571426</v>
      </c>
      <c r="F60" s="44"/>
      <c r="H60" s="44">
        <f>(0.5*H52)/(0.8*3.6)</f>
        <v>4.2242258928571426</v>
      </c>
      <c r="I60" s="44"/>
    </row>
    <row r="62" spans="1:9" x14ac:dyDescent="0.3">
      <c r="A62" s="44" t="s">
        <v>45</v>
      </c>
      <c r="B62" s="44"/>
      <c r="E62" s="44" t="s">
        <v>45</v>
      </c>
      <c r="F62" s="44"/>
      <c r="H62" s="44" t="s">
        <v>45</v>
      </c>
      <c r="I62" s="44"/>
    </row>
    <row r="63" spans="1:9" x14ac:dyDescent="0.3">
      <c r="A63" s="42">
        <f>A60/B37</f>
        <v>1.2424193802521009</v>
      </c>
      <c r="B63" s="43"/>
      <c r="E63" s="42">
        <f>E60/B37</f>
        <v>1.2424193802521009</v>
      </c>
      <c r="F63" s="43"/>
      <c r="H63" s="42">
        <f>H60/3.7</f>
        <v>1.1416826737451735</v>
      </c>
      <c r="I63" s="43"/>
    </row>
  </sheetData>
  <mergeCells count="35">
    <mergeCell ref="A49:B49"/>
    <mergeCell ref="E47:F47"/>
    <mergeCell ref="A59:B59"/>
    <mergeCell ref="A60:B60"/>
    <mergeCell ref="A62:B62"/>
    <mergeCell ref="A63:B63"/>
    <mergeCell ref="E48:F48"/>
    <mergeCell ref="E49:F49"/>
    <mergeCell ref="E51:F51"/>
    <mergeCell ref="E52:F52"/>
    <mergeCell ref="E54:F54"/>
    <mergeCell ref="E55:F55"/>
    <mergeCell ref="E59:F59"/>
    <mergeCell ref="E60:F60"/>
    <mergeCell ref="E62:F62"/>
    <mergeCell ref="E63:F63"/>
    <mergeCell ref="A48:B48"/>
    <mergeCell ref="A41:E41"/>
    <mergeCell ref="E43:E44"/>
    <mergeCell ref="H63:I63"/>
    <mergeCell ref="A47:B47"/>
    <mergeCell ref="H54:I54"/>
    <mergeCell ref="H55:I55"/>
    <mergeCell ref="H59:I59"/>
    <mergeCell ref="H60:I60"/>
    <mergeCell ref="H62:I62"/>
    <mergeCell ref="H47:I47"/>
    <mergeCell ref="H48:I48"/>
    <mergeCell ref="H49:I49"/>
    <mergeCell ref="H51:I51"/>
    <mergeCell ref="H52:I52"/>
    <mergeCell ref="A51:B51"/>
    <mergeCell ref="A52:B52"/>
    <mergeCell ref="A54:B54"/>
    <mergeCell ref="A55:B5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</dc:creator>
  <cp:keywords/>
  <dc:description/>
  <cp:lastModifiedBy>BRYAN SUAZO FONSECA</cp:lastModifiedBy>
  <cp:revision/>
  <cp:lastPrinted>2026-03-09T18:09:33Z</cp:lastPrinted>
  <dcterms:created xsi:type="dcterms:W3CDTF">2025-08-25T17:28:40Z</dcterms:created>
  <dcterms:modified xsi:type="dcterms:W3CDTF">2026-04-20T16:37:39Z</dcterms:modified>
  <cp:category/>
  <cp:contentStatus/>
</cp:coreProperties>
</file>